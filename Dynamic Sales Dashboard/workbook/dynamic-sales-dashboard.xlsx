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Alvin\Downloads\Excel Projects\03 Advanced\52.Dynamic Sales Dashboard\"/>
    </mc:Choice>
  </mc:AlternateContent>
  <xr:revisionPtr revIDLastSave="0" documentId="13_ncr:1_{C3DB05B7-5319-4ABA-BAF9-6A35095382AA}" xr6:coauthVersionLast="47" xr6:coauthVersionMax="47" xr10:uidLastSave="{00000000-0000-0000-0000-000000000000}"/>
  <bookViews>
    <workbookView xWindow="-120" yWindow="-120" windowWidth="20730" windowHeight="11040" xr2:uid="{CE1A6E87-B051-45C0-9C93-A7C3592EC8B5}"/>
  </bookViews>
  <sheets>
    <sheet name="Dasboard" sheetId="1" r:id="rId1"/>
    <sheet name="Pivot_Data" sheetId="4" r:id="rId2"/>
    <sheet name="Data" sheetId="2" r:id="rId3"/>
  </sheets>
  <definedNames>
    <definedName name="_xlcn.WorksheetConnection_dynamicsalesdashboard.xlsxSales_Cleaned1" hidden="1">Sales_Cleaned[]</definedName>
    <definedName name="ExternalData_1" localSheetId="2" hidden="1">Data!$A$1:$K$53</definedName>
    <definedName name="kpiAvgRevenue">Dasboard!$K$4</definedName>
    <definedName name="kpiTotalOrders">Dasboard!$H$4</definedName>
    <definedName name="kpiTotalQuantity">Dasboard!$D$4</definedName>
    <definedName name="kpiTotalRevenue">Dasboard!$A$4</definedName>
    <definedName name="Slicer_Product">#N/A</definedName>
    <definedName name="Slicer_Region">#N/A</definedName>
    <definedName name="Timeline_OrderDate">#N/A</definedName>
  </definedNames>
  <calcPr calcId="191029"/>
  <pivotCaches>
    <pivotCache cacheId="530" r:id="rId4"/>
    <pivotCache cacheId="533" r:id="rId5"/>
    <pivotCache cacheId="536" r:id="rId6"/>
    <pivotCache cacheId="539" r:id="rId7"/>
    <pivotCache cacheId="542" r:id="rId8"/>
    <pivotCache cacheId="545" r:id="rId9"/>
    <pivotCache cacheId="548" r:id="rId10"/>
    <pivotCache cacheId="551" r:id="rId11"/>
  </pivotCaches>
  <extLst>
    <ext xmlns:x14="http://schemas.microsoft.com/office/spreadsheetml/2009/9/main" uri="{876F7934-8845-4945-9796-88D515C7AA90}">
      <x14:pivotCaches>
        <pivotCache cacheId="136"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46"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Cleaned_b250a52d-a2f7-4895-8940-3800835fcadc" name="Sales_Cleaned" connection="Query - Sales_Cleaned"/>
          <x15:modelTable id="Sales_Cleaned 1" name="Sales_Cleaned 1" connection="WorksheetConnection_dynamic-sales-dashboard.xlsx!Sales_Cleaned"/>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 i="1" l="1"/>
  <c r="H4" i="1"/>
  <c r="D4" i="1"/>
  <c r="A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AB4222-0823-4997-8A4B-35203EFE1DB9}" keepAlive="1" name="ModelConnection_ExternalData_1" description="Data Model" type="5" refreshedVersion="7" minRefreshableVersion="5" saveData="1">
    <dbPr connection="Data Model Connection" command="Sales_Cleaned" commandType="3"/>
    <extLst>
      <ext xmlns:x15="http://schemas.microsoft.com/office/spreadsheetml/2010/11/main" uri="{DE250136-89BD-433C-8126-D09CA5730AF9}">
        <x15:connection id="" model="1"/>
      </ext>
    </extLst>
  </connection>
  <connection id="2" xr16:uid="{F97619B8-8B3A-4B1F-97D7-901018A65D4A}" name="Query - Sales_Cleaned" description="Connection to the 'Sales_Cleaned' query in the workbook." type="100" refreshedVersion="7" minRefreshableVersion="5">
    <extLst>
      <ext xmlns:x15="http://schemas.microsoft.com/office/spreadsheetml/2010/11/main" uri="{DE250136-89BD-433C-8126-D09CA5730AF9}">
        <x15:connection id="37871514-e0a4-4fe9-b80a-0fd2a47e9f93"/>
      </ext>
    </extLst>
  </connection>
  <connection id="3" xr16:uid="{0D6E1C45-9CED-4C15-8B5B-F895B2A9E8BC}"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BDCBF19D-8CA9-40CE-8A04-7A1B0A57919E}" name="WorksheetConnection_dynamic-sales-dashboard.xlsx!Sales_Cleaned" type="102" refreshedVersion="7" minRefreshableVersion="5">
    <extLst>
      <ext xmlns:x15="http://schemas.microsoft.com/office/spreadsheetml/2010/11/main" uri="{DE250136-89BD-433C-8126-D09CA5730AF9}">
        <x15:connection id="Sales_Cleaned 1">
          <x15:rangePr sourceName="_xlcn.WorksheetConnection_dynamicsalesdashboard.xlsxSales_Cleaned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Sales_Cleaned].[Year].[All]}"/>
  </metadataStrings>
  <mdxMetadata count="1">
    <mdx n="0" f="s">
      <ms ns="1" c="0"/>
    </mdx>
  </mdxMetadata>
  <valueMetadata count="1">
    <bk>
      <rc t="1" v="0"/>
    </bk>
  </valueMetadata>
</metadata>
</file>

<file path=xl/sharedStrings.xml><?xml version="1.0" encoding="utf-8"?>
<sst xmlns="http://schemas.openxmlformats.org/spreadsheetml/2006/main" count="316" uniqueCount="118">
  <si>
    <t>OrderID</t>
  </si>
  <si>
    <t>OrderDate</t>
  </si>
  <si>
    <t>Year</t>
  </si>
  <si>
    <t>Month</t>
  </si>
  <si>
    <t>Region</t>
  </si>
  <si>
    <t>SalesRep</t>
  </si>
  <si>
    <t>Product</t>
  </si>
  <si>
    <t>Quantity</t>
  </si>
  <si>
    <t>UnitPrice</t>
  </si>
  <si>
    <t>Revenue</t>
  </si>
  <si>
    <t>MonthNumber</t>
  </si>
  <si>
    <t>1001</t>
  </si>
  <si>
    <t>December</t>
  </si>
  <si>
    <t>North</t>
  </si>
  <si>
    <t>John Doe</t>
  </si>
  <si>
    <t>Laptop</t>
  </si>
  <si>
    <t>1002</t>
  </si>
  <si>
    <t>January</t>
  </si>
  <si>
    <t>Jane Doe</t>
  </si>
  <si>
    <t>1003</t>
  </si>
  <si>
    <t>South</t>
  </si>
  <si>
    <t>Peter Smith</t>
  </si>
  <si>
    <t>Monitor</t>
  </si>
  <si>
    <t>1004</t>
  </si>
  <si>
    <t>East</t>
  </si>
  <si>
    <t>Mary Ann</t>
  </si>
  <si>
    <t>Keyboard</t>
  </si>
  <si>
    <t>1005</t>
  </si>
  <si>
    <t>1006</t>
  </si>
  <si>
    <t>February</t>
  </si>
  <si>
    <t>West</t>
  </si>
  <si>
    <t>Alex Jones</t>
  </si>
  <si>
    <t>Mouse</t>
  </si>
  <si>
    <t>1007</t>
  </si>
  <si>
    <t>1008</t>
  </si>
  <si>
    <t>June</t>
  </si>
  <si>
    <t>Sam Kato</t>
  </si>
  <si>
    <t>1009</t>
  </si>
  <si>
    <t>1010</t>
  </si>
  <si>
    <t>September</t>
  </si>
  <si>
    <t>Rita Paul</t>
  </si>
  <si>
    <t>1011</t>
  </si>
  <si>
    <t>1012</t>
  </si>
  <si>
    <t>November</t>
  </si>
  <si>
    <t>John Mark</t>
  </si>
  <si>
    <t>1013</t>
  </si>
  <si>
    <t>1014</t>
  </si>
  <si>
    <t>Lucy Gray</t>
  </si>
  <si>
    <t>1015</t>
  </si>
  <si>
    <t>1016</t>
  </si>
  <si>
    <t>Paul Kim</t>
  </si>
  <si>
    <t>1017</t>
  </si>
  <si>
    <t>1018</t>
  </si>
  <si>
    <t>Brian Lee</t>
  </si>
  <si>
    <t>1019</t>
  </si>
  <si>
    <t>1020</t>
  </si>
  <si>
    <t>Anne Hope</t>
  </si>
  <si>
    <t>1021</t>
  </si>
  <si>
    <t>1022</t>
  </si>
  <si>
    <t>Tom Nash</t>
  </si>
  <si>
    <t>1023</t>
  </si>
  <si>
    <t>1024</t>
  </si>
  <si>
    <t>1025</t>
  </si>
  <si>
    <t>1026</t>
  </si>
  <si>
    <t>Jane Fox</t>
  </si>
  <si>
    <t>1027</t>
  </si>
  <si>
    <t>1028</t>
  </si>
  <si>
    <t>Mike Ross</t>
  </si>
  <si>
    <t>1029</t>
  </si>
  <si>
    <t>1030</t>
  </si>
  <si>
    <t>Sarah Cole</t>
  </si>
  <si>
    <t>1031</t>
  </si>
  <si>
    <t>March</t>
  </si>
  <si>
    <t>1032</t>
  </si>
  <si>
    <t>Dan Hill</t>
  </si>
  <si>
    <t>1033</t>
  </si>
  <si>
    <t>1034</t>
  </si>
  <si>
    <t>May</t>
  </si>
  <si>
    <t>Emma Frost</t>
  </si>
  <si>
    <t>1035</t>
  </si>
  <si>
    <t>1036</t>
  </si>
  <si>
    <t>July</t>
  </si>
  <si>
    <t>Nick Lane</t>
  </si>
  <si>
    <t>1037</t>
  </si>
  <si>
    <t>1038</t>
  </si>
  <si>
    <t>Olivia Park</t>
  </si>
  <si>
    <t>1039</t>
  </si>
  <si>
    <t>1040</t>
  </si>
  <si>
    <t>Chris Paul</t>
  </si>
  <si>
    <t>1041</t>
  </si>
  <si>
    <t>1042</t>
  </si>
  <si>
    <t>Nina Ray</t>
  </si>
  <si>
    <t>1043</t>
  </si>
  <si>
    <t>1044</t>
  </si>
  <si>
    <t>Kevin Hart</t>
  </si>
  <si>
    <t>1045</t>
  </si>
  <si>
    <t>1046</t>
  </si>
  <si>
    <t>Laura King</t>
  </si>
  <si>
    <t>1047</t>
  </si>
  <si>
    <t>1048</t>
  </si>
  <si>
    <t>Steve Jobs</t>
  </si>
  <si>
    <t>1049</t>
  </si>
  <si>
    <t>1050</t>
  </si>
  <si>
    <t>Alan Turing</t>
  </si>
  <si>
    <t>1051</t>
  </si>
  <si>
    <t>1052</t>
  </si>
  <si>
    <t>Sum of Revenue</t>
  </si>
  <si>
    <t>Sum of Quantity</t>
  </si>
  <si>
    <t>Count of OrderID</t>
  </si>
  <si>
    <t>Average of Revenue</t>
  </si>
  <si>
    <t>Row Labels</t>
  </si>
  <si>
    <t>Grand Total</t>
  </si>
  <si>
    <t>All</t>
  </si>
  <si>
    <t>Total Revenue</t>
  </si>
  <si>
    <t>Total Quantity Sold</t>
  </si>
  <si>
    <t>Number of Orders</t>
  </si>
  <si>
    <t>Average Order Value (AOV)</t>
  </si>
  <si>
    <t>Filtered by Date / Region /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</si>
</sst>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
  </numFmts>
  <fonts count="5" x14ac:knownFonts="1">
    <font>
      <sz val="11"/>
      <color theme="1"/>
      <name val="Calibri"/>
      <family val="2"/>
      <scheme val="minor"/>
    </font>
    <font>
      <sz val="11"/>
      <color theme="4" tint="-0.249977111117893"/>
      <name val="Calibri"/>
      <family val="2"/>
      <scheme val="minor"/>
    </font>
    <font>
      <sz val="20"/>
      <color theme="4" tint="-0.249977111117893"/>
      <name val="Calibri"/>
      <family val="2"/>
      <scheme val="minor"/>
    </font>
    <font>
      <b/>
      <i/>
      <sz val="11"/>
      <color theme="4" tint="-0.249977111117893"/>
      <name val="Calibri"/>
      <family val="2"/>
      <scheme val="minor"/>
    </font>
    <font>
      <sz val="8"/>
      <color theme="0" tint="-0.34998626667073579"/>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1" fillId="0" borderId="0" xfId="0" applyFont="1"/>
    <xf numFmtId="165" fontId="2" fillId="0" borderId="0" xfId="0" applyNumberFormat="1" applyFont="1" applyAlignment="1">
      <alignment horizontal="center"/>
    </xf>
    <xf numFmtId="1" fontId="2" fillId="0" borderId="0" xfId="0" applyNumberFormat="1" applyFont="1" applyAlignment="1">
      <alignment horizontal="center"/>
    </xf>
    <xf numFmtId="0" fontId="3" fillId="0" borderId="0" xfId="0" applyFont="1" applyAlignment="1">
      <alignment horizontal="center"/>
    </xf>
    <xf numFmtId="0" fontId="3" fillId="0" borderId="0" xfId="0" applyFont="1"/>
    <xf numFmtId="0" fontId="4" fillId="0" borderId="0" xfId="0" applyFont="1" applyAlignment="1">
      <alignment horizontal="center" vertical="top"/>
    </xf>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0.xml"/><Relationship Id="rId23" Type="http://schemas.openxmlformats.org/officeDocument/2006/relationships/calcChain" Target="calcChain.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[dynamic-sales-dashboard.xlsx]Pivot_Data!Revenue Trend (Monthly)</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Pivot_Data!$B$9</c:f>
              <c:strCache>
                <c:ptCount val="1"/>
                <c:pt idx="0">
                  <c:v>Total</c:v>
                </c:pt>
              </c:strCache>
            </c:strRef>
          </c:tx>
          <c:spPr>
            <a:ln w="28575" cap="rnd">
              <a:solidFill>
                <a:schemeClr val="accent1"/>
              </a:solidFill>
              <a:round/>
            </a:ln>
            <a:effectLst/>
          </c:spPr>
          <c:marker>
            <c:symbol val="none"/>
          </c:marker>
          <c:cat>
            <c:strRef>
              <c:f>Pivot_Data!$A$10:$A$19</c:f>
              <c:strCache>
                <c:ptCount val="9"/>
                <c:pt idx="0">
                  <c:v>December</c:v>
                </c:pt>
                <c:pt idx="1">
                  <c:v>February</c:v>
                </c:pt>
                <c:pt idx="2">
                  <c:v>January</c:v>
                </c:pt>
                <c:pt idx="3">
                  <c:v>July</c:v>
                </c:pt>
                <c:pt idx="4">
                  <c:v>June</c:v>
                </c:pt>
                <c:pt idx="5">
                  <c:v>March</c:v>
                </c:pt>
                <c:pt idx="6">
                  <c:v>May</c:v>
                </c:pt>
                <c:pt idx="7">
                  <c:v>November</c:v>
                </c:pt>
                <c:pt idx="8">
                  <c:v>September</c:v>
                </c:pt>
              </c:strCache>
            </c:strRef>
          </c:cat>
          <c:val>
            <c:numRef>
              <c:f>Pivot_Data!$B$10:$B$19</c:f>
              <c:numCache>
                <c:formatCode>\$#,##0</c:formatCode>
                <c:ptCount val="9"/>
                <c:pt idx="0">
                  <c:v>1700</c:v>
                </c:pt>
                <c:pt idx="1">
                  <c:v>12100</c:v>
                </c:pt>
                <c:pt idx="2">
                  <c:v>4250</c:v>
                </c:pt>
                <c:pt idx="3">
                  <c:v>200</c:v>
                </c:pt>
                <c:pt idx="4">
                  <c:v>850</c:v>
                </c:pt>
                <c:pt idx="5">
                  <c:v>20280</c:v>
                </c:pt>
                <c:pt idx="6">
                  <c:v>1500</c:v>
                </c:pt>
                <c:pt idx="7">
                  <c:v>400</c:v>
                </c:pt>
                <c:pt idx="8">
                  <c:v>2600</c:v>
                </c:pt>
              </c:numCache>
            </c:numRef>
          </c:val>
          <c:smooth val="0"/>
          <c:extLst>
            <c:ext xmlns:c16="http://schemas.microsoft.com/office/drawing/2014/chart" uri="{C3380CC4-5D6E-409C-BE32-E72D297353CC}">
              <c16:uniqueId val="{00000003-74F3-4146-B3B9-08338F17733A}"/>
            </c:ext>
          </c:extLst>
        </c:ser>
        <c:dLbls>
          <c:showLegendKey val="0"/>
          <c:showVal val="0"/>
          <c:showCatName val="0"/>
          <c:showSerName val="0"/>
          <c:showPercent val="0"/>
          <c:showBubbleSize val="0"/>
        </c:dLbls>
        <c:smooth val="0"/>
        <c:axId val="164117392"/>
        <c:axId val="164116976"/>
      </c:lineChart>
      <c:catAx>
        <c:axId val="16411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16976"/>
        <c:crosses val="autoZero"/>
        <c:auto val="1"/>
        <c:lblAlgn val="ctr"/>
        <c:lblOffset val="100"/>
        <c:noMultiLvlLbl val="0"/>
      </c:catAx>
      <c:valAx>
        <c:axId val="1641169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17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[dynamic-sales-dashboard.xlsx]Pivot_Data!Revenue by Product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Revenue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Pivot_Data!$E$14</c:f>
              <c:strCache>
                <c:ptCount val="1"/>
                <c:pt idx="0">
                  <c:v>Total</c:v>
                </c:pt>
              </c:strCache>
            </c:strRef>
          </c:tx>
          <c:spPr>
            <a:solidFill>
              <a:schemeClr val="accent1"/>
            </a:solidFill>
            <a:ln>
              <a:noFill/>
            </a:ln>
            <a:effectLst/>
          </c:spPr>
          <c:invertIfNegative val="0"/>
          <c:cat>
            <c:strRef>
              <c:f>Pivot_Data!$D$15:$D$19</c:f>
              <c:strCache>
                <c:ptCount val="4"/>
                <c:pt idx="0">
                  <c:v>Keyboard</c:v>
                </c:pt>
                <c:pt idx="1">
                  <c:v>Laptop</c:v>
                </c:pt>
                <c:pt idx="2">
                  <c:v>Monitor</c:v>
                </c:pt>
                <c:pt idx="3">
                  <c:v>Mouse</c:v>
                </c:pt>
              </c:strCache>
            </c:strRef>
          </c:cat>
          <c:val>
            <c:numRef>
              <c:f>Pivot_Data!$E$15:$E$19</c:f>
              <c:numCache>
                <c:formatCode>\$#,##0</c:formatCode>
                <c:ptCount val="4"/>
                <c:pt idx="0">
                  <c:v>1950</c:v>
                </c:pt>
                <c:pt idx="1">
                  <c:v>24650</c:v>
                </c:pt>
                <c:pt idx="2">
                  <c:v>14700</c:v>
                </c:pt>
                <c:pt idx="3">
                  <c:v>2580</c:v>
                </c:pt>
              </c:numCache>
            </c:numRef>
          </c:val>
          <c:extLst>
            <c:ext xmlns:c16="http://schemas.microsoft.com/office/drawing/2014/chart" uri="{C3380CC4-5D6E-409C-BE32-E72D297353CC}">
              <c16:uniqueId val="{00000000-92C2-42F5-B527-696BE4D0ED83}"/>
            </c:ext>
          </c:extLst>
        </c:ser>
        <c:dLbls>
          <c:showLegendKey val="0"/>
          <c:showVal val="0"/>
          <c:showCatName val="0"/>
          <c:showSerName val="0"/>
          <c:showPercent val="0"/>
          <c:showBubbleSize val="0"/>
        </c:dLbls>
        <c:gapWidth val="219"/>
        <c:overlap val="-27"/>
        <c:axId val="164106992"/>
        <c:axId val="164107824"/>
      </c:barChart>
      <c:catAx>
        <c:axId val="16410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07824"/>
        <c:crosses val="autoZero"/>
        <c:auto val="1"/>
        <c:lblAlgn val="ctr"/>
        <c:lblOffset val="100"/>
        <c:noMultiLvlLbl val="0"/>
      </c:catAx>
      <c:valAx>
        <c:axId val="1641078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06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[dynamic-sales-dashboard.xlsx]Pivot_Data!Revenue by Region</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Revenue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Pivot_Data!$E$7</c:f>
              <c:strCache>
                <c:ptCount val="1"/>
                <c:pt idx="0">
                  <c:v>Total</c:v>
                </c:pt>
              </c:strCache>
            </c:strRef>
          </c:tx>
          <c:spPr>
            <a:solidFill>
              <a:schemeClr val="accent1"/>
            </a:solidFill>
            <a:ln>
              <a:noFill/>
            </a:ln>
            <a:effectLst/>
          </c:spPr>
          <c:invertIfNegative val="0"/>
          <c:cat>
            <c:strRef>
              <c:f>Pivot_Data!$D$8:$D$12</c:f>
              <c:strCache>
                <c:ptCount val="4"/>
                <c:pt idx="0">
                  <c:v>East</c:v>
                </c:pt>
                <c:pt idx="1">
                  <c:v>North</c:v>
                </c:pt>
                <c:pt idx="2">
                  <c:v>South</c:v>
                </c:pt>
                <c:pt idx="3">
                  <c:v>West</c:v>
                </c:pt>
              </c:strCache>
            </c:strRef>
          </c:cat>
          <c:val>
            <c:numRef>
              <c:f>Pivot_Data!$E$8:$E$12</c:f>
              <c:numCache>
                <c:formatCode>\$#,##0</c:formatCode>
                <c:ptCount val="4"/>
                <c:pt idx="0">
                  <c:v>1950</c:v>
                </c:pt>
                <c:pt idx="1">
                  <c:v>6440</c:v>
                </c:pt>
                <c:pt idx="2">
                  <c:v>14700</c:v>
                </c:pt>
                <c:pt idx="3">
                  <c:v>20790</c:v>
                </c:pt>
              </c:numCache>
            </c:numRef>
          </c:val>
          <c:extLst>
            <c:ext xmlns:c16="http://schemas.microsoft.com/office/drawing/2014/chart" uri="{C3380CC4-5D6E-409C-BE32-E72D297353CC}">
              <c16:uniqueId val="{00000000-275B-4940-8701-3E60D70FE841}"/>
            </c:ext>
          </c:extLst>
        </c:ser>
        <c:dLbls>
          <c:showLegendKey val="0"/>
          <c:showVal val="0"/>
          <c:showCatName val="0"/>
          <c:showSerName val="0"/>
          <c:showPercent val="0"/>
          <c:showBubbleSize val="0"/>
        </c:dLbls>
        <c:gapWidth val="182"/>
        <c:axId val="1341537600"/>
        <c:axId val="1341535520"/>
      </c:barChart>
      <c:catAx>
        <c:axId val="1341537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535520"/>
        <c:crosses val="autoZero"/>
        <c:auto val="1"/>
        <c:lblAlgn val="ctr"/>
        <c:lblOffset val="100"/>
        <c:noMultiLvlLbl val="0"/>
      </c:catAx>
      <c:valAx>
        <c:axId val="134153552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537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[dynamic-sales-dashboard.xlsx]Pivot_Data!Top Sales Reps (Top 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Top 5 Sales Reps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Pivot_Data!$H$7</c:f>
              <c:strCache>
                <c:ptCount val="1"/>
                <c:pt idx="0">
                  <c:v>Total</c:v>
                </c:pt>
              </c:strCache>
            </c:strRef>
          </c:tx>
          <c:spPr>
            <a:solidFill>
              <a:schemeClr val="accent1"/>
            </a:solidFill>
            <a:ln>
              <a:noFill/>
            </a:ln>
            <a:effectLst/>
          </c:spPr>
          <c:invertIfNegative val="0"/>
          <c:cat>
            <c:strRef>
              <c:f>Pivot_Data!$G$8:$G$13</c:f>
              <c:strCache>
                <c:ptCount val="5"/>
                <c:pt idx="0">
                  <c:v>Laura King</c:v>
                </c:pt>
                <c:pt idx="1">
                  <c:v>Sarah Cole</c:v>
                </c:pt>
                <c:pt idx="2">
                  <c:v>Nina Ray</c:v>
                </c:pt>
                <c:pt idx="3">
                  <c:v>Lucy Gray</c:v>
                </c:pt>
                <c:pt idx="4">
                  <c:v>Olivia Park</c:v>
                </c:pt>
              </c:strCache>
            </c:strRef>
          </c:cat>
          <c:val>
            <c:numRef>
              <c:f>Pivot_Data!$H$8:$H$13</c:f>
              <c:numCache>
                <c:formatCode>\$#,##0</c:formatCode>
                <c:ptCount val="5"/>
                <c:pt idx="0">
                  <c:v>6800</c:v>
                </c:pt>
                <c:pt idx="1">
                  <c:v>5100</c:v>
                </c:pt>
                <c:pt idx="2">
                  <c:v>3600</c:v>
                </c:pt>
                <c:pt idx="3">
                  <c:v>3400</c:v>
                </c:pt>
                <c:pt idx="4">
                  <c:v>3400</c:v>
                </c:pt>
              </c:numCache>
            </c:numRef>
          </c:val>
          <c:extLst>
            <c:ext xmlns:c16="http://schemas.microsoft.com/office/drawing/2014/chart" uri="{C3380CC4-5D6E-409C-BE32-E72D297353CC}">
              <c16:uniqueId val="{00000000-068C-45D1-A0E0-867929CD5C6C}"/>
            </c:ext>
          </c:extLst>
        </c:ser>
        <c:dLbls>
          <c:showLegendKey val="0"/>
          <c:showVal val="0"/>
          <c:showCatName val="0"/>
          <c:showSerName val="0"/>
          <c:showPercent val="0"/>
          <c:showBubbleSize val="0"/>
        </c:dLbls>
        <c:gapWidth val="182"/>
        <c:axId val="820384560"/>
        <c:axId val="820384976"/>
      </c:barChart>
      <c:catAx>
        <c:axId val="820384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384976"/>
        <c:crosses val="autoZero"/>
        <c:auto val="1"/>
        <c:lblAlgn val="ctr"/>
        <c:lblOffset val="100"/>
        <c:noMultiLvlLbl val="0"/>
      </c:catAx>
      <c:valAx>
        <c:axId val="82038497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384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6</xdr:row>
      <xdr:rowOff>19050</xdr:rowOff>
    </xdr:from>
    <xdr:to>
      <xdr:col>6</xdr:col>
      <xdr:colOff>212400</xdr:colOff>
      <xdr:row>20</xdr:row>
      <xdr:rowOff>11773</xdr:rowOff>
    </xdr:to>
    <xdr:graphicFrame macro="">
      <xdr:nvGraphicFramePr>
        <xdr:cNvPr id="2" name="chtRevenueTrend">
          <a:extLst>
            <a:ext uri="{FF2B5EF4-FFF2-40B4-BE49-F238E27FC236}">
              <a16:creationId xmlns:a16="http://schemas.microsoft.com/office/drawing/2014/main" id="{F8AD70CE-8995-4C1C-B534-F04305BCFD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400050</xdr:colOff>
      <xdr:row>6</xdr:row>
      <xdr:rowOff>28576</xdr:rowOff>
    </xdr:from>
    <xdr:to>
      <xdr:col>13</xdr:col>
      <xdr:colOff>2850</xdr:colOff>
      <xdr:row>19</xdr:row>
      <xdr:rowOff>171112</xdr:rowOff>
    </xdr:to>
    <xdr:graphicFrame macro="">
      <xdr:nvGraphicFramePr>
        <xdr:cNvPr id="3" name="chtProductRevenue">
          <a:extLst>
            <a:ext uri="{FF2B5EF4-FFF2-40B4-BE49-F238E27FC236}">
              <a16:creationId xmlns:a16="http://schemas.microsoft.com/office/drawing/2014/main" id="{A042E384-B32A-4187-B1EC-21EBC224E8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0</xdr:colOff>
      <xdr:row>19</xdr:row>
      <xdr:rowOff>171450</xdr:rowOff>
    </xdr:from>
    <xdr:to>
      <xdr:col>6</xdr:col>
      <xdr:colOff>212400</xdr:colOff>
      <xdr:row>34</xdr:row>
      <xdr:rowOff>13950</xdr:rowOff>
    </xdr:to>
    <xdr:graphicFrame macro="">
      <xdr:nvGraphicFramePr>
        <xdr:cNvPr id="4" name="chtRevenueByRegion">
          <a:extLst>
            <a:ext uri="{FF2B5EF4-FFF2-40B4-BE49-F238E27FC236}">
              <a16:creationId xmlns:a16="http://schemas.microsoft.com/office/drawing/2014/main" id="{8F74A60D-E80D-4123-871E-763B9B01E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6</xdr:col>
      <xdr:colOff>400050</xdr:colOff>
      <xdr:row>19</xdr:row>
      <xdr:rowOff>171450</xdr:rowOff>
    </xdr:from>
    <xdr:to>
      <xdr:col>13</xdr:col>
      <xdr:colOff>2850</xdr:colOff>
      <xdr:row>34</xdr:row>
      <xdr:rowOff>13950</xdr:rowOff>
    </xdr:to>
    <xdr:graphicFrame macro="">
      <xdr:nvGraphicFramePr>
        <xdr:cNvPr id="5" name="chtTopReps">
          <a:extLst>
            <a:ext uri="{FF2B5EF4-FFF2-40B4-BE49-F238E27FC236}">
              <a16:creationId xmlns:a16="http://schemas.microsoft.com/office/drawing/2014/main" id="{361E66BA-6462-44D1-B58B-3B20377F06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28575</xdr:colOff>
      <xdr:row>2</xdr:row>
      <xdr:rowOff>19051</xdr:rowOff>
    </xdr:from>
    <xdr:to>
      <xdr:col>16</xdr:col>
      <xdr:colOff>28575</xdr:colOff>
      <xdr:row>9</xdr:row>
      <xdr:rowOff>133351</xdr:rowOff>
    </xdr:to>
    <mc:AlternateContent xmlns:mc="http://schemas.openxmlformats.org/markup-compatibility/2006">
      <mc:Choice xmlns:a14="http://schemas.microsoft.com/office/drawing/2010/main" Requires="a14">
        <xdr:graphicFrame macro="">
          <xdr:nvGraphicFramePr>
            <xdr:cNvPr id="6" name="slicerRegion">
              <a:extLst>
                <a:ext uri="{FF2B5EF4-FFF2-40B4-BE49-F238E27FC236}">
                  <a16:creationId xmlns:a16="http://schemas.microsoft.com/office/drawing/2014/main" id="{4E4B2D74-8E4B-42B4-BC44-D27671033C81}"/>
                </a:ext>
              </a:extLst>
            </xdr:cNvPr>
            <xdr:cNvGraphicFramePr/>
          </xdr:nvGraphicFramePr>
          <xdr:xfrm>
            <a:off x="0" y="0"/>
            <a:ext cx="0" cy="0"/>
          </xdr:xfrm>
          <a:graphic>
            <a:graphicData uri="http://schemas.microsoft.com/office/drawing/2010/slicer">
              <sle:slicer xmlns:sle="http://schemas.microsoft.com/office/drawing/2010/slicer" name="slicerRegion"/>
            </a:graphicData>
          </a:graphic>
        </xdr:graphicFrame>
      </mc:Choice>
      <mc:Fallback>
        <xdr:sp macro="" textlink="">
          <xdr:nvSpPr>
            <xdr:cNvPr id="0" name=""/>
            <xdr:cNvSpPr>
              <a:spLocks noTextEdit="1"/>
            </xdr:cNvSpPr>
          </xdr:nvSpPr>
          <xdr:spPr>
            <a:xfrm>
              <a:off x="7922419" y="400051"/>
              <a:ext cx="1821656" cy="1447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11</xdr:row>
      <xdr:rowOff>0</xdr:rowOff>
    </xdr:from>
    <xdr:to>
      <xdr:col>16</xdr:col>
      <xdr:colOff>0</xdr:colOff>
      <xdr:row>18</xdr:row>
      <xdr:rowOff>85725</xdr:rowOff>
    </xdr:to>
    <mc:AlternateContent xmlns:mc="http://schemas.openxmlformats.org/markup-compatibility/2006">
      <mc:Choice xmlns:a14="http://schemas.microsoft.com/office/drawing/2010/main" Requires="a14">
        <xdr:graphicFrame macro="">
          <xdr:nvGraphicFramePr>
            <xdr:cNvPr id="7" name="slicerProduct">
              <a:extLst>
                <a:ext uri="{FF2B5EF4-FFF2-40B4-BE49-F238E27FC236}">
                  <a16:creationId xmlns:a16="http://schemas.microsoft.com/office/drawing/2014/main" id="{ADD82449-F86E-495A-9E77-CD78525790C7}"/>
                </a:ext>
              </a:extLst>
            </xdr:cNvPr>
            <xdr:cNvGraphicFramePr/>
          </xdr:nvGraphicFramePr>
          <xdr:xfrm>
            <a:off x="0" y="0"/>
            <a:ext cx="0" cy="0"/>
          </xdr:xfrm>
          <a:graphic>
            <a:graphicData uri="http://schemas.microsoft.com/office/drawing/2010/slicer">
              <sle:slicer xmlns:sle="http://schemas.microsoft.com/office/drawing/2010/slicer" name="slicerProduct"/>
            </a:graphicData>
          </a:graphic>
        </xdr:graphicFrame>
      </mc:Choice>
      <mc:Fallback>
        <xdr:sp macro="" textlink="">
          <xdr:nvSpPr>
            <xdr:cNvPr id="0" name=""/>
            <xdr:cNvSpPr>
              <a:spLocks noTextEdit="1"/>
            </xdr:cNvSpPr>
          </xdr:nvSpPr>
          <xdr:spPr>
            <a:xfrm>
              <a:off x="7893844" y="2095500"/>
              <a:ext cx="1821656" cy="14192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266700</xdr:colOff>
      <xdr:row>34</xdr:row>
      <xdr:rowOff>180974</xdr:rowOff>
    </xdr:from>
    <xdr:to>
      <xdr:col>11</xdr:col>
      <xdr:colOff>304800</xdr:colOff>
      <xdr:row>42</xdr:row>
      <xdr:rowOff>171450</xdr:rowOff>
    </xdr:to>
    <mc:AlternateContent xmlns:mc="http://schemas.openxmlformats.org/markup-compatibility/2006">
      <mc:Choice xmlns:tsle="http://schemas.microsoft.com/office/drawing/2012/timeslicer" Requires="tsle">
        <xdr:graphicFrame macro="">
          <xdr:nvGraphicFramePr>
            <xdr:cNvPr id="8" name="timelineDate">
              <a:extLst>
                <a:ext uri="{FF2B5EF4-FFF2-40B4-BE49-F238E27FC236}">
                  <a16:creationId xmlns:a16="http://schemas.microsoft.com/office/drawing/2014/main" id="{A48F29A3-8A03-46B9-9D55-A487071CA157}"/>
                </a:ext>
              </a:extLst>
            </xdr:cNvPr>
            <xdr:cNvGraphicFramePr/>
          </xdr:nvGraphicFramePr>
          <xdr:xfrm>
            <a:off x="0" y="0"/>
            <a:ext cx="0" cy="0"/>
          </xdr:xfrm>
          <a:graphic>
            <a:graphicData uri="http://schemas.microsoft.com/office/drawing/2012/timeslicer">
              <tsle:timeslicer xmlns:tsle="http://schemas.microsoft.com/office/drawing/2012/timeslicer" name="timelineDate"/>
            </a:graphicData>
          </a:graphic>
        </xdr:graphicFrame>
      </mc:Choice>
      <mc:Fallback>
        <xdr:sp macro="" textlink="">
          <xdr:nvSpPr>
            <xdr:cNvPr id="0" name=""/>
            <xdr:cNvSpPr>
              <a:spLocks noTextEdit="1"/>
            </xdr:cNvSpPr>
          </xdr:nvSpPr>
          <xdr:spPr>
            <a:xfrm>
              <a:off x="873919" y="6657974"/>
              <a:ext cx="6110287" cy="1514476"/>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vin Betariza" refreshedDate="46056.020912152781" backgroundQuery="1" createdVersion="7" refreshedVersion="7" minRefreshableVersion="3" recordCount="0" supportSubquery="1" supportAdvancedDrill="1" xr:uid="{28DFB794-9152-4152-8595-362CBF6F1E70}">
  <cacheSource type="external" connectionId="3"/>
  <cacheFields count="5">
    <cacheField name="[Sales_Cleaned].[Month].[Month]" caption="Month" numFmtId="0" hierarchy="3" level="1">
      <sharedItems count="9">
        <s v="December"/>
        <s v="February"/>
        <s v="January"/>
        <s v="July"/>
        <s v="June"/>
        <s v="March"/>
        <s v="May"/>
        <s v="November"/>
        <s v="September"/>
      </sharedItems>
    </cacheField>
    <cacheField name="[Measures].[Sum of Revenue]" caption="Sum of Revenue" numFmtId="0" hierarchy="27" level="32767"/>
    <cacheField name="[Sales_Cleaned].[Year].[Year]" caption="Year" numFmtId="0" hierarchy="2" level="1">
      <sharedItems containsSemiMixedTypes="0" containsNonDate="0" containsString="0"/>
    </cacheField>
    <cacheField name="[Sales_Cleaned].[OrderDate].[OrderDate]" caption="OrderDate" numFmtId="0" hierarchy="1" level="1">
      <sharedItems containsSemiMixedTypes="0" containsNonDate="0" containsString="0"/>
    </cacheField>
    <cacheField name="[Sales_Cleaned].[Region].[Region]" caption="Region" numFmtId="0" hierarchy="4" level="1">
      <sharedItems containsSemiMixedTypes="0" containsNonDate="0" containsString="0"/>
    </cacheField>
  </cacheFields>
  <cacheHierarchies count="31">
    <cacheHierarchy uniqueName="[Sales_Cleaned].[OrderID]" caption="OrderID" attribute="1" defaultMemberUniqueName="[Sales_Cleaned].[OrderID].[All]" allUniqueName="[Sales_Cleaned].[OrderID].[All]" dimensionUniqueName="[Sales_Cleaned]" displayFolder="" count="2" memberValueDatatype="130" unbalanced="0"/>
    <cacheHierarchy uniqueName="[Sales_Cleaned].[OrderDate]" caption="OrderDate" attribute="1" time="1" defaultMemberUniqueName="[Sales_Cleaned].[OrderDate].[All]" allUniqueName="[Sales_Cleaned].[OrderDate].[All]" dimensionUniqueName="[Sales_Cleaned]" displayFolder="" count="2" memberValueDatatype="7" unbalanced="0">
      <fieldsUsage count="2">
        <fieldUsage x="-1"/>
        <fieldUsage x="3"/>
      </fieldsUsage>
    </cacheHierarchy>
    <cacheHierarchy uniqueName="[Sales_Cleaned].[Year]" caption="Year" attribute="1" defaultMemberUniqueName="[Sales_Cleaned].[Year].[All]" allUniqueName="[Sales_Cleaned].[Year].[All]" dimensionUniqueName="[Sales_Cleaned]" displayFolder="" count="2" memberValueDatatype="20" unbalanced="0">
      <fieldsUsage count="2">
        <fieldUsage x="-1"/>
        <fieldUsage x="2"/>
      </fieldsUsage>
    </cacheHierarchy>
    <cacheHierarchy uniqueName="[Sales_Cleaned].[Month]" caption="Month" attribute="1" defaultMemberUniqueName="[Sales_Cleaned].[Month].[All]" allUniqueName="[Sales_Cleaned].[Month].[All]" dimensionUniqueName="[Sales_Cleaned]" displayFolder="" count="2" memberValueDatatype="130" unbalanced="0">
      <fieldsUsage count="2">
        <fieldUsage x="-1"/>
        <fieldUsage x="0"/>
      </fieldsUsage>
    </cacheHierarchy>
    <cacheHierarchy uniqueName="[Sales_Cleaned].[Region]" caption="Region" attribute="1" defaultMemberUniqueName="[Sales_Cleaned].[Region].[All]" allUniqueName="[Sales_Cleaned].[Region].[All]" dimensionUniqueName="[Sales_Cleaned]" displayFolder="" count="2" memberValueDatatype="130" unbalanced="0">
      <fieldsUsage count="2">
        <fieldUsage x="-1"/>
        <fieldUsage x="4"/>
      </fieldsUsage>
    </cacheHierarchy>
    <cacheHierarchy uniqueName="[Sales_Cleaned].[SalesRep]" caption="SalesRep" attribute="1" defaultMemberUniqueName="[Sales_Cleaned].[SalesRep].[All]" allUniqueName="[Sales_Cleaned].[SalesRep].[All]" dimensionUniqueName="[Sales_Cleaned]" displayFolder="" count="2" memberValueDatatype="130" unbalanced="0"/>
    <cacheHierarchy uniqueName="[Sales_Cleaned].[Product]" caption="Product" attribute="1" defaultMemberUniqueName="[Sales_Cleaned].[Product].[All]" allUniqueName="[Sales_Cleaned].[Product].[All]" dimensionUniqueName="[Sales_Cleaned]" displayFolder="" count="2" memberValueDatatype="130" unbalanced="0"/>
    <cacheHierarchy uniqueName="[Sales_Cleaned].[Quantity]" caption="Quantity" attribute="1" defaultMemberUniqueName="[Sales_Cleaned].[Quantity].[All]" allUniqueName="[Sales_Cleaned].[Quantity].[All]" dimensionUniqueName="[Sales_Cleaned]" displayFolder="" count="2" memberValueDatatype="20" unbalanced="0"/>
    <cacheHierarchy uniqueName="[Sales_Cleaned].[UnitPrice]" caption="UnitPrice" attribute="1" defaultMemberUniqueName="[Sales_Cleaned].[UnitPrice].[All]" allUniqueName="[Sales_Cleaned].[UnitPrice].[All]" dimensionUniqueName="[Sales_Cleaned]" displayFolder="" count="2" memberValueDatatype="5" unbalanced="0"/>
    <cacheHierarchy uniqueName="[Sales_Cleaned].[Revenue]" caption="Revenue" attribute="1" defaultMemberUniqueName="[Sales_Cleaned].[Revenue].[All]" allUniqueName="[Sales_Cleaned].[Revenue].[All]" dimensionUniqueName="[Sales_Cleaned]" displayFolder="" count="2" memberValueDatatype="5" unbalanced="0"/>
    <cacheHierarchy uniqueName="[Sales_Cleaned].[MonthNumber]" caption="MonthNumber" attribute="1" defaultMemberUniqueName="[Sales_Cleaned].[MonthNumber].[All]" allUniqueName="[Sales_Cleaned].[MonthNumber].[All]" dimensionUniqueName="[Sales_Cleaned]" displayFolder="" count="2" memberValueDatatype="20" unbalanced="0"/>
    <cacheHierarchy uniqueName="[Sales_Cleaned 1].[OrderID]" caption="OrderID" attribute="1" defaultMemberUniqueName="[Sales_Cleaned 1].[OrderID].[All]" allUniqueName="[Sales_Cleaned 1].[OrderID].[All]" dimensionUniqueName="[Sales_Cleaned 1]" displayFolder="" count="2" memberValueDatatype="130" unbalanced="0"/>
    <cacheHierarchy uniqueName="[Sales_Cleaned 1].[OrderDate]" caption="OrderDate" attribute="1" time="1" defaultMemberUniqueName="[Sales_Cleaned 1].[OrderDate].[All]" allUniqueName="[Sales_Cleaned 1].[OrderDate].[All]" dimensionUniqueName="[Sales_Cleaned 1]" displayFolder="" count="2" memberValueDatatype="7" unbalanced="0"/>
    <cacheHierarchy uniqueName="[Sales_Cleaned 1].[Year]" caption="Year" attribute="1" defaultMemberUniqueName="[Sales_Cleaned 1].[Year].[All]" allUniqueName="[Sales_Cleaned 1].[Year].[All]" dimensionUniqueName="[Sales_Cleaned 1]" displayFolder="" count="2" memberValueDatatype="20" unbalanced="0"/>
    <cacheHierarchy uniqueName="[Sales_Cleaned 1].[Month]" caption="Month" attribute="1" defaultMemberUniqueName="[Sales_Cleaned 1].[Month].[All]" allUniqueName="[Sales_Cleaned 1].[Month].[All]" dimensionUniqueName="[Sales_Cleaned 1]" displayFolder="" count="2" memberValueDatatype="130" unbalanced="0"/>
    <cacheHierarchy uniqueName="[Sales_Cleaned 1].[Region]" caption="Region" attribute="1" defaultMemberUniqueName="[Sales_Cleaned 1].[Region].[All]" allUniqueName="[Sales_Cleaned 1].[Region].[All]" dimensionUniqueName="[Sales_Cleaned 1]" displayFolder="" count="2" memberValueDatatype="130" unbalanced="0"/>
    <cacheHierarchy uniqueName="[Sales_Cleaned 1].[SalesRep]" caption="SalesRep" attribute="1" defaultMemberUniqueName="[Sales_Cleaned 1].[SalesRep].[All]" allUniqueName="[Sales_Cleaned 1].[SalesRep].[All]" dimensionUniqueName="[Sales_Cleaned 1]" displayFolder="" count="2" memberValueDatatype="130" unbalanced="0"/>
    <cacheHierarchy uniqueName="[Sales_Cleaned 1].[Product]" caption="Product" attribute="1" defaultMemberUniqueName="[Sales_Cleaned 1].[Product].[All]" allUniqueName="[Sales_Cleaned 1].[Product].[All]" dimensionUniqueName="[Sales_Cleaned 1]" displayFolder="" count="2" memberValueDatatype="130" unbalanced="0"/>
    <cacheHierarchy uniqueName="[Sales_Cleaned 1].[Quantity]" caption="Quantity" attribute="1" defaultMemberUniqueName="[Sales_Cleaned 1].[Quantity].[All]" allUniqueName="[Sales_Cleaned 1].[Quantity].[All]" dimensionUniqueName="[Sales_Cleaned 1]" displayFolder="" count="2" memberValueDatatype="20" unbalanced="0"/>
    <cacheHierarchy uniqueName="[Sales_Cleaned 1].[UnitPrice]" caption="UnitPrice" attribute="1" defaultMemberUniqueName="[Sales_Cleaned 1].[UnitPrice].[All]" allUniqueName="[Sales_Cleaned 1].[UnitPrice].[All]" dimensionUniqueName="[Sales_Cleaned 1]" displayFolder="" count="2" memberValueDatatype="20" unbalanced="0"/>
    <cacheHierarchy uniqueName="[Sales_Cleaned 1].[Revenue]" caption="Revenue" attribute="1" defaultMemberUniqueName="[Sales_Cleaned 1].[Revenue].[All]" allUniqueName="[Sales_Cleaned 1].[Revenue].[All]" dimensionUniqueName="[Sales_Cleaned 1]" displayFolder="" count="2" memberValueDatatype="130" unbalanced="0"/>
    <cacheHierarchy uniqueName="[Sales_Cleaned 1].[MonthNumber]" caption="MonthNumber" attribute="1" defaultMemberUniqueName="[Sales_Cleaned 1].[MonthNumber].[All]" allUniqueName="[Sales_Cleaned 1].[MonthNumber].[All]" dimensionUniqueName="[Sales_Cleaned 1]" displayFolder="" count="2" memberValueDatatype="20" unbalanced="0"/>
    <cacheHierarchy uniqueName="[Measures].[__XL_Count Sales_Cleaned]" caption="__XL_Count Sales_Cleaned" measure="1" displayFolder="" measureGroup="Sales_Cleaned" count="0" hidden="1"/>
    <cacheHierarchy uniqueName="[Measures].[__XL_Count Sales_Cleaned 1]" caption="__XL_Count Sales_Cleaned 1" measure="1" displayFolder="" measureGroup="Sales_Cleaned 1" count="0" hidden="1"/>
    <cacheHierarchy uniqueName="[Measures].[__No measures defined]" caption="__No measures defined" measure="1" displayFolder="" count="0" hidden="1"/>
    <cacheHierarchy uniqueName="[Measures].[Count of Revenue]" caption="Count of Revenue" measure="1" displayFolder="" measureGroup="Sales_Cleaned" count="0" hidden="1">
      <extLst>
        <ext xmlns:x15="http://schemas.microsoft.com/office/spreadsheetml/2010/11/main" uri="{B97F6D7D-B522-45F9-BDA1-12C45D357490}">
          <x15:cacheHierarchy aggregatedColumn="9"/>
        </ext>
      </extLst>
    </cacheHierarchy>
    <cacheHierarchy uniqueName="[Measures].[Count of Revenue 2]" caption="Count of Revenue 2" measure="1" displayFolder="" measureGroup="Sales_Cleaned 1"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Sales_Cleaned"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_Cleaned" count="0" hidden="1">
      <extLst>
        <ext xmlns:x15="http://schemas.microsoft.com/office/spreadsheetml/2010/11/main" uri="{B97F6D7D-B522-45F9-BDA1-12C45D357490}">
          <x15:cacheHierarchy aggregatedColumn="7"/>
        </ext>
      </extLst>
    </cacheHierarchy>
    <cacheHierarchy uniqueName="[Measures].[Count of OrderID]" caption="Count of OrderID" measure="1" displayFolder="" measureGroup="Sales_Cleaned"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Sales_Cleaned"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Sales_Cleaned" uniqueName="[Sales_Cleaned]" caption="Sales_Cleaned"/>
    <dimension name="Sales_Cleaned 1" uniqueName="[Sales_Cleaned 1]" caption="Sales_Cleaned 1"/>
  </dimensions>
  <measureGroups count="2">
    <measureGroup name="Sales_Cleaned" caption="Sales_Cleaned"/>
    <measureGroup name="Sales_Cleaned 1" caption="Sales_Cleaned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vin Betariza" refreshedDate="46056.020912615742" backgroundQuery="1" createdVersion="7" refreshedVersion="7" minRefreshableVersion="3" recordCount="0" supportSubquery="1" supportAdvancedDrill="1" xr:uid="{7B742EBB-814B-4310-BB7F-507D88031286}">
  <cacheSource type="external" connectionId="3"/>
  <cacheFields count="3">
    <cacheField name="[Sales_Cleaned].[Product].[Product]" caption="Product" numFmtId="0" hierarchy="6" level="1">
      <sharedItems count="4">
        <s v="Keyboard"/>
        <s v="Laptop"/>
        <s v="Monitor"/>
        <s v="Mouse"/>
      </sharedItems>
    </cacheField>
    <cacheField name="[Measures].[Sum of Revenue]" caption="Sum of Revenue" numFmtId="0" hierarchy="27" level="32767"/>
    <cacheField name="[Sales_Cleaned].[Region].[Region]" caption="Region" numFmtId="0" hierarchy="4" level="1">
      <sharedItems containsSemiMixedTypes="0" containsNonDate="0" containsString="0"/>
    </cacheField>
  </cacheFields>
  <cacheHierarchies count="31">
    <cacheHierarchy uniqueName="[Sales_Cleaned].[OrderID]" caption="OrderID" attribute="1" defaultMemberUniqueName="[Sales_Cleaned].[OrderID].[All]" allUniqueName="[Sales_Cleaned].[OrderID].[All]" dimensionUniqueName="[Sales_Cleaned]" displayFolder="" count="0" memberValueDatatype="130" unbalanced="0"/>
    <cacheHierarchy uniqueName="[Sales_Cleaned].[OrderDate]" caption="OrderDate" attribute="1" time="1" defaultMemberUniqueName="[Sales_Cleaned].[OrderDate].[All]" allUniqueName="[Sales_Cleaned].[OrderDate].[All]" dimensionUniqueName="[Sales_Cleaned]" displayFolder="" count="2" memberValueDatatype="7" unbalanced="0"/>
    <cacheHierarchy uniqueName="[Sales_Cleaned].[Year]" caption="Year" attribute="1" defaultMemberUniqueName="[Sales_Cleaned].[Year].[All]" allUniqueName="[Sales_Cleaned].[Year].[All]" dimensionUniqueName="[Sales_Cleaned]" displayFolder="" count="0" memberValueDatatype="20" unbalanced="0"/>
    <cacheHierarchy uniqueName="[Sales_Cleaned].[Month]" caption="Month" attribute="1" defaultMemberUniqueName="[Sales_Cleaned].[Month].[All]" allUniqueName="[Sales_Cleaned].[Month].[All]" dimensionUniqueName="[Sales_Cleaned]" displayFolder="" count="0" memberValueDatatype="130" unbalanced="0"/>
    <cacheHierarchy uniqueName="[Sales_Cleaned].[Region]" caption="Region" attribute="1" defaultMemberUniqueName="[Sales_Cleaned].[Region].[All]" allUniqueName="[Sales_Cleaned].[Region].[All]" dimensionUniqueName="[Sales_Cleaned]" displayFolder="" count="2" memberValueDatatype="130" unbalanced="0">
      <fieldsUsage count="2">
        <fieldUsage x="-1"/>
        <fieldUsage x="2"/>
      </fieldsUsage>
    </cacheHierarchy>
    <cacheHierarchy uniqueName="[Sales_Cleaned].[SalesRep]" caption="SalesRep" attribute="1" defaultMemberUniqueName="[Sales_Cleaned].[SalesRep].[All]" allUniqueName="[Sales_Cleaned].[SalesRep].[All]" dimensionUniqueName="[Sales_Cleaned]" displayFolder="" count="0" memberValueDatatype="130" unbalanced="0"/>
    <cacheHierarchy uniqueName="[Sales_Cleaned].[Product]" caption="Product" attribute="1" defaultMemberUniqueName="[Sales_Cleaned].[Product].[All]" allUniqueName="[Sales_Cleaned].[Product].[All]" dimensionUniqueName="[Sales_Cleaned]" displayFolder="" count="2" memberValueDatatype="130" unbalanced="0">
      <fieldsUsage count="2">
        <fieldUsage x="-1"/>
        <fieldUsage x="0"/>
      </fieldsUsage>
    </cacheHierarchy>
    <cacheHierarchy uniqueName="[Sales_Cleaned].[Quantity]" caption="Quantity" attribute="1" defaultMemberUniqueName="[Sales_Cleaned].[Quantity].[All]" allUniqueName="[Sales_Cleaned].[Quantity].[All]" dimensionUniqueName="[Sales_Cleaned]" displayFolder="" count="0" memberValueDatatype="20" unbalanced="0"/>
    <cacheHierarchy uniqueName="[Sales_Cleaned].[UnitPrice]" caption="UnitPrice" attribute="1" defaultMemberUniqueName="[Sales_Cleaned].[UnitPrice].[All]" allUniqueName="[Sales_Cleaned].[UnitPrice].[All]" dimensionUniqueName="[Sales_Cleaned]" displayFolder="" count="0" memberValueDatatype="5" unbalanced="0"/>
    <cacheHierarchy uniqueName="[Sales_Cleaned].[Revenue]" caption="Revenue" attribute="1" defaultMemberUniqueName="[Sales_Cleaned].[Revenue].[All]" allUniqueName="[Sales_Cleaned].[Revenue].[All]" dimensionUniqueName="[Sales_Cleaned]" displayFolder="" count="0" memberValueDatatype="5" unbalanced="0"/>
    <cacheHierarchy uniqueName="[Sales_Cleaned].[MonthNumber]" caption="MonthNumber" attribute="1" defaultMemberUniqueName="[Sales_Cleaned].[MonthNumber].[All]" allUniqueName="[Sales_Cleaned].[MonthNumber].[All]" dimensionUniqueName="[Sales_Cleaned]" displayFolder="" count="0" memberValueDatatype="20" unbalanced="0"/>
    <cacheHierarchy uniqueName="[Sales_Cleaned 1].[OrderID]" caption="OrderID" attribute="1" defaultMemberUniqueName="[Sales_Cleaned 1].[OrderID].[All]" allUniqueName="[Sales_Cleaned 1].[OrderID].[All]" dimensionUniqueName="[Sales_Cleaned 1]" displayFolder="" count="0" memberValueDatatype="130" unbalanced="0"/>
    <cacheHierarchy uniqueName="[Sales_Cleaned 1].[OrderDate]" caption="OrderDate" attribute="1" time="1" defaultMemberUniqueName="[Sales_Cleaned 1].[OrderDate].[All]" allUniqueName="[Sales_Cleaned 1].[OrderDate].[All]" dimensionUniqueName="[Sales_Cleaned 1]" displayFolder="" count="0" memberValueDatatype="7" unbalanced="0"/>
    <cacheHierarchy uniqueName="[Sales_Cleaned 1].[Year]" caption="Year" attribute="1" defaultMemberUniqueName="[Sales_Cleaned 1].[Year].[All]" allUniqueName="[Sales_Cleaned 1].[Year].[All]" dimensionUniqueName="[Sales_Cleaned 1]" displayFolder="" count="0" memberValueDatatype="20" unbalanced="0"/>
    <cacheHierarchy uniqueName="[Sales_Cleaned 1].[Month]" caption="Month" attribute="1" defaultMemberUniqueName="[Sales_Cleaned 1].[Month].[All]" allUniqueName="[Sales_Cleaned 1].[Month].[All]" dimensionUniqueName="[Sales_Cleaned 1]" displayFolder="" count="0" memberValueDatatype="130" unbalanced="0"/>
    <cacheHierarchy uniqueName="[Sales_Cleaned 1].[Region]" caption="Region" attribute="1" defaultMemberUniqueName="[Sales_Cleaned 1].[Region].[All]" allUniqueName="[Sales_Cleaned 1].[Region].[All]" dimensionUniqueName="[Sales_Cleaned 1]" displayFolder="" count="0" memberValueDatatype="130" unbalanced="0"/>
    <cacheHierarchy uniqueName="[Sales_Cleaned 1].[SalesRep]" caption="SalesRep" attribute="1" defaultMemberUniqueName="[Sales_Cleaned 1].[SalesRep].[All]" allUniqueName="[Sales_Cleaned 1].[SalesRep].[All]" dimensionUniqueName="[Sales_Cleaned 1]" displayFolder="" count="0" memberValueDatatype="130" unbalanced="0"/>
    <cacheHierarchy uniqueName="[Sales_Cleaned 1].[Product]" caption="Product" attribute="1" defaultMemberUniqueName="[Sales_Cleaned 1].[Product].[All]" allUniqueName="[Sales_Cleaned 1].[Product].[All]" dimensionUniqueName="[Sales_Cleaned 1]" displayFolder="" count="0" memberValueDatatype="130" unbalanced="0"/>
    <cacheHierarchy uniqueName="[Sales_Cleaned 1].[Quantity]" caption="Quantity" attribute="1" defaultMemberUniqueName="[Sales_Cleaned 1].[Quantity].[All]" allUniqueName="[Sales_Cleaned 1].[Quantity].[All]" dimensionUniqueName="[Sales_Cleaned 1]" displayFolder="" count="0" memberValueDatatype="20" unbalanced="0"/>
    <cacheHierarchy uniqueName="[Sales_Cleaned 1].[UnitPrice]" caption="UnitPrice" attribute="1" defaultMemberUniqueName="[Sales_Cleaned 1].[UnitPrice].[All]" allUniqueName="[Sales_Cleaned 1].[UnitPrice].[All]" dimensionUniqueName="[Sales_Cleaned 1]" displayFolder="" count="0" memberValueDatatype="20" unbalanced="0"/>
    <cacheHierarchy uniqueName="[Sales_Cleaned 1].[Revenue]" caption="Revenue" attribute="1" defaultMemberUniqueName="[Sales_Cleaned 1].[Revenue].[All]" allUniqueName="[Sales_Cleaned 1].[Revenue].[All]" dimensionUniqueName="[Sales_Cleaned 1]" displayFolder="" count="0" memberValueDatatype="130" unbalanced="0"/>
    <cacheHierarchy uniqueName="[Sales_Cleaned 1].[MonthNumber]" caption="MonthNumber" attribute="1" defaultMemberUniqueName="[Sales_Cleaned 1].[MonthNumber].[All]" allUniqueName="[Sales_Cleaned 1].[MonthNumber].[All]" dimensionUniqueName="[Sales_Cleaned 1]" displayFolder="" count="0" memberValueDatatype="20" unbalanced="0"/>
    <cacheHierarchy uniqueName="[Measures].[__XL_Count Sales_Cleaned]" caption="__XL_Count Sales_Cleaned" measure="1" displayFolder="" measureGroup="Sales_Cleaned" count="0" hidden="1"/>
    <cacheHierarchy uniqueName="[Measures].[__XL_Count Sales_Cleaned 1]" caption="__XL_Count Sales_Cleaned 1" measure="1" displayFolder="" measureGroup="Sales_Cleaned 1" count="0" hidden="1"/>
    <cacheHierarchy uniqueName="[Measures].[__No measures defined]" caption="__No measures defined" measure="1" displayFolder="" count="0" hidden="1"/>
    <cacheHierarchy uniqueName="[Measures].[Count of Revenue]" caption="Count of Revenue" measure="1" displayFolder="" measureGroup="Sales_Cleaned" count="0" hidden="1">
      <extLst>
        <ext xmlns:x15="http://schemas.microsoft.com/office/spreadsheetml/2010/11/main" uri="{B97F6D7D-B522-45F9-BDA1-12C45D357490}">
          <x15:cacheHierarchy aggregatedColumn="9"/>
        </ext>
      </extLst>
    </cacheHierarchy>
    <cacheHierarchy uniqueName="[Measures].[Count of Revenue 2]" caption="Count of Revenue 2" measure="1" displayFolder="" measureGroup="Sales_Cleaned 1"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Sales_Cleaned"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_Cleaned" count="0" hidden="1">
      <extLst>
        <ext xmlns:x15="http://schemas.microsoft.com/office/spreadsheetml/2010/11/main" uri="{B97F6D7D-B522-45F9-BDA1-12C45D357490}">
          <x15:cacheHierarchy aggregatedColumn="7"/>
        </ext>
      </extLst>
    </cacheHierarchy>
    <cacheHierarchy uniqueName="[Measures].[Count of OrderID]" caption="Count of OrderID" measure="1" displayFolder="" measureGroup="Sales_Cleaned"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Sales_Cleaned"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Sales_Cleaned" uniqueName="[Sales_Cleaned]" caption="Sales_Cleaned"/>
    <dimension name="Sales_Cleaned 1" uniqueName="[Sales_Cleaned 1]" caption="Sales_Cleaned 1"/>
  </dimensions>
  <measureGroups count="2">
    <measureGroup name="Sales_Cleaned" caption="Sales_Cleaned"/>
    <measureGroup name="Sales_Cleaned 1" caption="Sales_Cleaned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vin Betariza" refreshedDate="46056.020912962966" backgroundQuery="1" createdVersion="7" refreshedVersion="7" minRefreshableVersion="3" recordCount="0" supportSubquery="1" supportAdvancedDrill="1" xr:uid="{D44A4D56-4D93-449E-95F3-6E57218F4B40}">
  <cacheSource type="external" connectionId="3"/>
  <cacheFields count="2">
    <cacheField name="[Sales_Cleaned].[Region].[Region]" caption="Region" numFmtId="0" hierarchy="4" level="1">
      <sharedItems count="4">
        <s v="East"/>
        <s v="North"/>
        <s v="South"/>
        <s v="West"/>
      </sharedItems>
    </cacheField>
    <cacheField name="[Measures].[Sum of Revenue]" caption="Sum of Revenue" numFmtId="0" hierarchy="27" level="32767"/>
  </cacheFields>
  <cacheHierarchies count="31">
    <cacheHierarchy uniqueName="[Sales_Cleaned].[OrderID]" caption="OrderID" attribute="1" defaultMemberUniqueName="[Sales_Cleaned].[OrderID].[All]" allUniqueName="[Sales_Cleaned].[OrderID].[All]" dimensionUniqueName="[Sales_Cleaned]" displayFolder="" count="0" memberValueDatatype="130" unbalanced="0"/>
    <cacheHierarchy uniqueName="[Sales_Cleaned].[OrderDate]" caption="OrderDate" attribute="1" time="1" defaultMemberUniqueName="[Sales_Cleaned].[OrderDate].[All]" allUniqueName="[Sales_Cleaned].[OrderDate].[All]" dimensionUniqueName="[Sales_Cleaned]" displayFolder="" count="2" memberValueDatatype="7" unbalanced="0"/>
    <cacheHierarchy uniqueName="[Sales_Cleaned].[Year]" caption="Year" attribute="1" defaultMemberUniqueName="[Sales_Cleaned].[Year].[All]" allUniqueName="[Sales_Cleaned].[Year].[All]" dimensionUniqueName="[Sales_Cleaned]" displayFolder="" count="0" memberValueDatatype="20" unbalanced="0"/>
    <cacheHierarchy uniqueName="[Sales_Cleaned].[Month]" caption="Month" attribute="1" defaultMemberUniqueName="[Sales_Cleaned].[Month].[All]" allUniqueName="[Sales_Cleaned].[Month].[All]" dimensionUniqueName="[Sales_Cleaned]" displayFolder="" count="0" memberValueDatatype="130" unbalanced="0"/>
    <cacheHierarchy uniqueName="[Sales_Cleaned].[Region]" caption="Region" attribute="1" defaultMemberUniqueName="[Sales_Cleaned].[Region].[All]" allUniqueName="[Sales_Cleaned].[Region].[All]" dimensionUniqueName="[Sales_Cleaned]" displayFolder="" count="2" memberValueDatatype="130" unbalanced="0">
      <fieldsUsage count="2">
        <fieldUsage x="-1"/>
        <fieldUsage x="0"/>
      </fieldsUsage>
    </cacheHierarchy>
    <cacheHierarchy uniqueName="[Sales_Cleaned].[SalesRep]" caption="SalesRep" attribute="1" defaultMemberUniqueName="[Sales_Cleaned].[SalesRep].[All]" allUniqueName="[Sales_Cleaned].[SalesRep].[All]" dimensionUniqueName="[Sales_Cleaned]" displayFolder="" count="0" memberValueDatatype="130" unbalanced="0"/>
    <cacheHierarchy uniqueName="[Sales_Cleaned].[Product]" caption="Product" attribute="1" defaultMemberUniqueName="[Sales_Cleaned].[Product].[All]" allUniqueName="[Sales_Cleaned].[Product].[All]" dimensionUniqueName="[Sales_Cleaned]" displayFolder="" count="2" memberValueDatatype="130" unbalanced="0"/>
    <cacheHierarchy uniqueName="[Sales_Cleaned].[Quantity]" caption="Quantity" attribute="1" defaultMemberUniqueName="[Sales_Cleaned].[Quantity].[All]" allUniqueName="[Sales_Cleaned].[Quantity].[All]" dimensionUniqueName="[Sales_Cleaned]" displayFolder="" count="0" memberValueDatatype="20" unbalanced="0"/>
    <cacheHierarchy uniqueName="[Sales_Cleaned].[UnitPrice]" caption="UnitPrice" attribute="1" defaultMemberUniqueName="[Sales_Cleaned].[UnitPrice].[All]" allUniqueName="[Sales_Cleaned].[UnitPrice].[All]" dimensionUniqueName="[Sales_Cleaned]" displayFolder="" count="0" memberValueDatatype="5" unbalanced="0"/>
    <cacheHierarchy uniqueName="[Sales_Cleaned].[Revenue]" caption="Revenue" attribute="1" defaultMemberUniqueName="[Sales_Cleaned].[Revenue].[All]" allUniqueName="[Sales_Cleaned].[Revenue].[All]" dimensionUniqueName="[Sales_Cleaned]" displayFolder="" count="0" memberValueDatatype="5" unbalanced="0"/>
    <cacheHierarchy uniqueName="[Sales_Cleaned].[MonthNumber]" caption="MonthNumber" attribute="1" defaultMemberUniqueName="[Sales_Cleaned].[MonthNumber].[All]" allUniqueName="[Sales_Cleaned].[MonthNumber].[All]" dimensionUniqueName="[Sales_Cleaned]" displayFolder="" count="0" memberValueDatatype="20" unbalanced="0"/>
    <cacheHierarchy uniqueName="[Sales_Cleaned 1].[OrderID]" caption="OrderID" attribute="1" defaultMemberUniqueName="[Sales_Cleaned 1].[OrderID].[All]" allUniqueName="[Sales_Cleaned 1].[OrderID].[All]" dimensionUniqueName="[Sales_Cleaned 1]" displayFolder="" count="0" memberValueDatatype="130" unbalanced="0"/>
    <cacheHierarchy uniqueName="[Sales_Cleaned 1].[OrderDate]" caption="OrderDate" attribute="1" time="1" defaultMemberUniqueName="[Sales_Cleaned 1].[OrderDate].[All]" allUniqueName="[Sales_Cleaned 1].[OrderDate].[All]" dimensionUniqueName="[Sales_Cleaned 1]" displayFolder="" count="0" memberValueDatatype="7" unbalanced="0"/>
    <cacheHierarchy uniqueName="[Sales_Cleaned 1].[Year]" caption="Year" attribute="1" defaultMemberUniqueName="[Sales_Cleaned 1].[Year].[All]" allUniqueName="[Sales_Cleaned 1].[Year].[All]" dimensionUniqueName="[Sales_Cleaned 1]" displayFolder="" count="0" memberValueDatatype="20" unbalanced="0"/>
    <cacheHierarchy uniqueName="[Sales_Cleaned 1].[Month]" caption="Month" attribute="1" defaultMemberUniqueName="[Sales_Cleaned 1].[Month].[All]" allUniqueName="[Sales_Cleaned 1].[Month].[All]" dimensionUniqueName="[Sales_Cleaned 1]" displayFolder="" count="0" memberValueDatatype="130" unbalanced="0"/>
    <cacheHierarchy uniqueName="[Sales_Cleaned 1].[Region]" caption="Region" attribute="1" defaultMemberUniqueName="[Sales_Cleaned 1].[Region].[All]" allUniqueName="[Sales_Cleaned 1].[Region].[All]" dimensionUniqueName="[Sales_Cleaned 1]" displayFolder="" count="0" memberValueDatatype="130" unbalanced="0"/>
    <cacheHierarchy uniqueName="[Sales_Cleaned 1].[SalesRep]" caption="SalesRep" attribute="1" defaultMemberUniqueName="[Sales_Cleaned 1].[SalesRep].[All]" allUniqueName="[Sales_Cleaned 1].[SalesRep].[All]" dimensionUniqueName="[Sales_Cleaned 1]" displayFolder="" count="0" memberValueDatatype="130" unbalanced="0"/>
    <cacheHierarchy uniqueName="[Sales_Cleaned 1].[Product]" caption="Product" attribute="1" defaultMemberUniqueName="[Sales_Cleaned 1].[Product].[All]" allUniqueName="[Sales_Cleaned 1].[Product].[All]" dimensionUniqueName="[Sales_Cleaned 1]" displayFolder="" count="0" memberValueDatatype="130" unbalanced="0"/>
    <cacheHierarchy uniqueName="[Sales_Cleaned 1].[Quantity]" caption="Quantity" attribute="1" defaultMemberUniqueName="[Sales_Cleaned 1].[Quantity].[All]" allUniqueName="[Sales_Cleaned 1].[Quantity].[All]" dimensionUniqueName="[Sales_Cleaned 1]" displayFolder="" count="0" memberValueDatatype="20" unbalanced="0"/>
    <cacheHierarchy uniqueName="[Sales_Cleaned 1].[UnitPrice]" caption="UnitPrice" attribute="1" defaultMemberUniqueName="[Sales_Cleaned 1].[UnitPrice].[All]" allUniqueName="[Sales_Cleaned 1].[UnitPrice].[All]" dimensionUniqueName="[Sales_Cleaned 1]" displayFolder="" count="0" memberValueDatatype="20" unbalanced="0"/>
    <cacheHierarchy uniqueName="[Sales_Cleaned 1].[Revenue]" caption="Revenue" attribute="1" defaultMemberUniqueName="[Sales_Cleaned 1].[Revenue].[All]" allUniqueName="[Sales_Cleaned 1].[Revenue].[All]" dimensionUniqueName="[Sales_Cleaned 1]" displayFolder="" count="0" memberValueDatatype="130" unbalanced="0"/>
    <cacheHierarchy uniqueName="[Sales_Cleaned 1].[MonthNumber]" caption="MonthNumber" attribute="1" defaultMemberUniqueName="[Sales_Cleaned 1].[MonthNumber].[All]" allUniqueName="[Sales_Cleaned 1].[MonthNumber].[All]" dimensionUniqueName="[Sales_Cleaned 1]" displayFolder="" count="0" memberValueDatatype="20" unbalanced="0"/>
    <cacheHierarchy uniqueName="[Measures].[__XL_Count Sales_Cleaned]" caption="__XL_Count Sales_Cleaned" measure="1" displayFolder="" measureGroup="Sales_Cleaned" count="0" hidden="1"/>
    <cacheHierarchy uniqueName="[Measures].[__XL_Count Sales_Cleaned 1]" caption="__XL_Count Sales_Cleaned 1" measure="1" displayFolder="" measureGroup="Sales_Cleaned 1" count="0" hidden="1"/>
    <cacheHierarchy uniqueName="[Measures].[__No measures defined]" caption="__No measures defined" measure="1" displayFolder="" count="0" hidden="1"/>
    <cacheHierarchy uniqueName="[Measures].[Count of Revenue]" caption="Count of Revenue" measure="1" displayFolder="" measureGroup="Sales_Cleaned" count="0" hidden="1">
      <extLst>
        <ext xmlns:x15="http://schemas.microsoft.com/office/spreadsheetml/2010/11/main" uri="{B97F6D7D-B522-45F9-BDA1-12C45D357490}">
          <x15:cacheHierarchy aggregatedColumn="9"/>
        </ext>
      </extLst>
    </cacheHierarchy>
    <cacheHierarchy uniqueName="[Measures].[Count of Revenue 2]" caption="Count of Revenue 2" measure="1" displayFolder="" measureGroup="Sales_Cleaned 1"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Sales_Cleaned"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_Cleaned" count="0" hidden="1">
      <extLst>
        <ext xmlns:x15="http://schemas.microsoft.com/office/spreadsheetml/2010/11/main" uri="{B97F6D7D-B522-45F9-BDA1-12C45D357490}">
          <x15:cacheHierarchy aggregatedColumn="7"/>
        </ext>
      </extLst>
    </cacheHierarchy>
    <cacheHierarchy uniqueName="[Measures].[Count of OrderID]" caption="Count of OrderID" measure="1" displayFolder="" measureGroup="Sales_Cleaned"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Sales_Cleaned"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Sales_Cleaned" uniqueName="[Sales_Cleaned]" caption="Sales_Cleaned"/>
    <dimension name="Sales_Cleaned 1" uniqueName="[Sales_Cleaned 1]" caption="Sales_Cleaned 1"/>
  </dimensions>
  <measureGroups count="2">
    <measureGroup name="Sales_Cleaned" caption="Sales_Cleaned"/>
    <measureGroup name="Sales_Cleaned 1" caption="Sales_Cleaned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vin Betariza" refreshedDate="46056.020913425928" backgroundQuery="1" createdVersion="7" refreshedVersion="7" minRefreshableVersion="3" recordCount="0" supportSubquery="1" supportAdvancedDrill="1" xr:uid="{61932D05-1E42-46C4-B42F-8E4C188D9B12}">
  <cacheSource type="external" connectionId="3"/>
  <cacheFields count="3">
    <cacheField name="[Sales_Cleaned].[SalesRep].[SalesRep]" caption="SalesRep" numFmtId="0" hierarchy="5" level="1">
      <sharedItems count="5">
        <s v="Laura King"/>
        <s v="Lucy Gray"/>
        <s v="Nina Ray"/>
        <s v="Olivia Park"/>
        <s v="Sarah Cole"/>
      </sharedItems>
    </cacheField>
    <cacheField name="[Measures].[Sum of Revenue]" caption="Sum of Revenue" numFmtId="0" hierarchy="27" level="32767"/>
    <cacheField name="[Sales_Cleaned].[Region].[Region]" caption="Region" numFmtId="0" hierarchy="4" level="1">
      <sharedItems containsSemiMixedTypes="0" containsNonDate="0" containsString="0"/>
    </cacheField>
  </cacheFields>
  <cacheHierarchies count="31">
    <cacheHierarchy uniqueName="[Sales_Cleaned].[OrderID]" caption="OrderID" attribute="1" defaultMemberUniqueName="[Sales_Cleaned].[OrderID].[All]" allUniqueName="[Sales_Cleaned].[OrderID].[All]" dimensionUniqueName="[Sales_Cleaned]" displayFolder="" count="2" memberValueDatatype="130" unbalanced="0"/>
    <cacheHierarchy uniqueName="[Sales_Cleaned].[OrderDate]" caption="OrderDate" attribute="1" time="1" defaultMemberUniqueName="[Sales_Cleaned].[OrderDate].[All]" allUniqueName="[Sales_Cleaned].[OrderDate].[All]" dimensionUniqueName="[Sales_Cleaned]" displayFolder="" count="2" memberValueDatatype="7" unbalanced="0"/>
    <cacheHierarchy uniqueName="[Sales_Cleaned].[Year]" caption="Year" attribute="1" defaultMemberUniqueName="[Sales_Cleaned].[Year].[All]" allUniqueName="[Sales_Cleaned].[Year].[All]" dimensionUniqueName="[Sales_Cleaned]" displayFolder="" count="2" memberValueDatatype="20" unbalanced="0"/>
    <cacheHierarchy uniqueName="[Sales_Cleaned].[Month]" caption="Month" attribute="1" defaultMemberUniqueName="[Sales_Cleaned].[Month].[All]" allUniqueName="[Sales_Cleaned].[Month].[All]" dimensionUniqueName="[Sales_Cleaned]" displayFolder="" count="2" memberValueDatatype="130" unbalanced="0"/>
    <cacheHierarchy uniqueName="[Sales_Cleaned].[Region]" caption="Region" attribute="1" defaultMemberUniqueName="[Sales_Cleaned].[Region].[All]" allUniqueName="[Sales_Cleaned].[Region].[All]" dimensionUniqueName="[Sales_Cleaned]" displayFolder="" count="2" memberValueDatatype="130" unbalanced="0">
      <fieldsUsage count="2">
        <fieldUsage x="-1"/>
        <fieldUsage x="2"/>
      </fieldsUsage>
    </cacheHierarchy>
    <cacheHierarchy uniqueName="[Sales_Cleaned].[SalesRep]" caption="SalesRep" attribute="1" defaultMemberUniqueName="[Sales_Cleaned].[SalesRep].[All]" allUniqueName="[Sales_Cleaned].[SalesRep].[All]" dimensionUniqueName="[Sales_Cleaned]" displayFolder="" count="2" memberValueDatatype="130" unbalanced="0">
      <fieldsUsage count="2">
        <fieldUsage x="-1"/>
        <fieldUsage x="0"/>
      </fieldsUsage>
    </cacheHierarchy>
    <cacheHierarchy uniqueName="[Sales_Cleaned].[Product]" caption="Product" attribute="1" defaultMemberUniqueName="[Sales_Cleaned].[Product].[All]" allUniqueName="[Sales_Cleaned].[Product].[All]" dimensionUniqueName="[Sales_Cleaned]" displayFolder="" count="2" memberValueDatatype="130" unbalanced="0"/>
    <cacheHierarchy uniqueName="[Sales_Cleaned].[Quantity]" caption="Quantity" attribute="1" defaultMemberUniqueName="[Sales_Cleaned].[Quantity].[All]" allUniqueName="[Sales_Cleaned].[Quantity].[All]" dimensionUniqueName="[Sales_Cleaned]" displayFolder="" count="2" memberValueDatatype="20" unbalanced="0"/>
    <cacheHierarchy uniqueName="[Sales_Cleaned].[UnitPrice]" caption="UnitPrice" attribute="1" defaultMemberUniqueName="[Sales_Cleaned].[UnitPrice].[All]" allUniqueName="[Sales_Cleaned].[UnitPrice].[All]" dimensionUniqueName="[Sales_Cleaned]" displayFolder="" count="2" memberValueDatatype="5" unbalanced="0"/>
    <cacheHierarchy uniqueName="[Sales_Cleaned].[Revenue]" caption="Revenue" attribute="1" defaultMemberUniqueName="[Sales_Cleaned].[Revenue].[All]" allUniqueName="[Sales_Cleaned].[Revenue].[All]" dimensionUniqueName="[Sales_Cleaned]" displayFolder="" count="2" memberValueDatatype="5" unbalanced="0"/>
    <cacheHierarchy uniqueName="[Sales_Cleaned].[MonthNumber]" caption="MonthNumber" attribute="1" defaultMemberUniqueName="[Sales_Cleaned].[MonthNumber].[All]" allUniqueName="[Sales_Cleaned].[MonthNumber].[All]" dimensionUniqueName="[Sales_Cleaned]" displayFolder="" count="2" memberValueDatatype="20" unbalanced="0"/>
    <cacheHierarchy uniqueName="[Sales_Cleaned 1].[OrderID]" caption="OrderID" attribute="1" defaultMemberUniqueName="[Sales_Cleaned 1].[OrderID].[All]" allUniqueName="[Sales_Cleaned 1].[OrderID].[All]" dimensionUniqueName="[Sales_Cleaned 1]" displayFolder="" count="2" memberValueDatatype="130" unbalanced="0"/>
    <cacheHierarchy uniqueName="[Sales_Cleaned 1].[OrderDate]" caption="OrderDate" attribute="1" time="1" defaultMemberUniqueName="[Sales_Cleaned 1].[OrderDate].[All]" allUniqueName="[Sales_Cleaned 1].[OrderDate].[All]" dimensionUniqueName="[Sales_Cleaned 1]" displayFolder="" count="2" memberValueDatatype="7" unbalanced="0"/>
    <cacheHierarchy uniqueName="[Sales_Cleaned 1].[Year]" caption="Year" attribute="1" defaultMemberUniqueName="[Sales_Cleaned 1].[Year].[All]" allUniqueName="[Sales_Cleaned 1].[Year].[All]" dimensionUniqueName="[Sales_Cleaned 1]" displayFolder="" count="2" memberValueDatatype="20" unbalanced="0"/>
    <cacheHierarchy uniqueName="[Sales_Cleaned 1].[Month]" caption="Month" attribute="1" defaultMemberUniqueName="[Sales_Cleaned 1].[Month].[All]" allUniqueName="[Sales_Cleaned 1].[Month].[All]" dimensionUniqueName="[Sales_Cleaned 1]" displayFolder="" count="2" memberValueDatatype="130" unbalanced="0"/>
    <cacheHierarchy uniqueName="[Sales_Cleaned 1].[Region]" caption="Region" attribute="1" defaultMemberUniqueName="[Sales_Cleaned 1].[Region].[All]" allUniqueName="[Sales_Cleaned 1].[Region].[All]" dimensionUniqueName="[Sales_Cleaned 1]" displayFolder="" count="2" memberValueDatatype="130" unbalanced="0"/>
    <cacheHierarchy uniqueName="[Sales_Cleaned 1].[SalesRep]" caption="SalesRep" attribute="1" defaultMemberUniqueName="[Sales_Cleaned 1].[SalesRep].[All]" allUniqueName="[Sales_Cleaned 1].[SalesRep].[All]" dimensionUniqueName="[Sales_Cleaned 1]" displayFolder="" count="2" memberValueDatatype="130" unbalanced="0"/>
    <cacheHierarchy uniqueName="[Sales_Cleaned 1].[Product]" caption="Product" attribute="1" defaultMemberUniqueName="[Sales_Cleaned 1].[Product].[All]" allUniqueName="[Sales_Cleaned 1].[Product].[All]" dimensionUniqueName="[Sales_Cleaned 1]" displayFolder="" count="2" memberValueDatatype="130" unbalanced="0"/>
    <cacheHierarchy uniqueName="[Sales_Cleaned 1].[Quantity]" caption="Quantity" attribute="1" defaultMemberUniqueName="[Sales_Cleaned 1].[Quantity].[All]" allUniqueName="[Sales_Cleaned 1].[Quantity].[All]" dimensionUniqueName="[Sales_Cleaned 1]" displayFolder="" count="2" memberValueDatatype="20" unbalanced="0"/>
    <cacheHierarchy uniqueName="[Sales_Cleaned 1].[UnitPrice]" caption="UnitPrice" attribute="1" defaultMemberUniqueName="[Sales_Cleaned 1].[UnitPrice].[All]" allUniqueName="[Sales_Cleaned 1].[UnitPrice].[All]" dimensionUniqueName="[Sales_Cleaned 1]" displayFolder="" count="2" memberValueDatatype="20" unbalanced="0"/>
    <cacheHierarchy uniqueName="[Sales_Cleaned 1].[Revenue]" caption="Revenue" attribute="1" defaultMemberUniqueName="[Sales_Cleaned 1].[Revenue].[All]" allUniqueName="[Sales_Cleaned 1].[Revenue].[All]" dimensionUniqueName="[Sales_Cleaned 1]" displayFolder="" count="2" memberValueDatatype="130" unbalanced="0"/>
    <cacheHierarchy uniqueName="[Sales_Cleaned 1].[MonthNumber]" caption="MonthNumber" attribute="1" defaultMemberUniqueName="[Sales_Cleaned 1].[MonthNumber].[All]" allUniqueName="[Sales_Cleaned 1].[MonthNumber].[All]" dimensionUniqueName="[Sales_Cleaned 1]" displayFolder="" count="2" memberValueDatatype="20" unbalanced="0"/>
    <cacheHierarchy uniqueName="[Measures].[__XL_Count Sales_Cleaned]" caption="__XL_Count Sales_Cleaned" measure="1" displayFolder="" measureGroup="Sales_Cleaned" count="0" hidden="1"/>
    <cacheHierarchy uniqueName="[Measures].[__XL_Count Sales_Cleaned 1]" caption="__XL_Count Sales_Cleaned 1" measure="1" displayFolder="" measureGroup="Sales_Cleaned 1" count="0" hidden="1"/>
    <cacheHierarchy uniqueName="[Measures].[__No measures defined]" caption="__No measures defined" measure="1" displayFolder="" count="0" hidden="1"/>
    <cacheHierarchy uniqueName="[Measures].[Count of Revenue]" caption="Count of Revenue" measure="1" displayFolder="" measureGroup="Sales_Cleaned" count="0" hidden="1">
      <extLst>
        <ext xmlns:x15="http://schemas.microsoft.com/office/spreadsheetml/2010/11/main" uri="{B97F6D7D-B522-45F9-BDA1-12C45D357490}">
          <x15:cacheHierarchy aggregatedColumn="9"/>
        </ext>
      </extLst>
    </cacheHierarchy>
    <cacheHierarchy uniqueName="[Measures].[Count of Revenue 2]" caption="Count of Revenue 2" measure="1" displayFolder="" measureGroup="Sales_Cleaned 1"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Sales_Cleaned"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_Cleaned" count="0" hidden="1">
      <extLst>
        <ext xmlns:x15="http://schemas.microsoft.com/office/spreadsheetml/2010/11/main" uri="{B97F6D7D-B522-45F9-BDA1-12C45D357490}">
          <x15:cacheHierarchy aggregatedColumn="7"/>
        </ext>
      </extLst>
    </cacheHierarchy>
    <cacheHierarchy uniqueName="[Measures].[Count of OrderID]" caption="Count of OrderID" measure="1" displayFolder="" measureGroup="Sales_Cleaned"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Sales_Cleaned"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Sales_Cleaned" uniqueName="[Sales_Cleaned]" caption="Sales_Cleaned"/>
    <dimension name="Sales_Cleaned 1" uniqueName="[Sales_Cleaned 1]" caption="Sales_Cleaned 1"/>
  </dimensions>
  <measureGroups count="2">
    <measureGroup name="Sales_Cleaned" caption="Sales_Cleaned"/>
    <measureGroup name="Sales_Cleaned 1" caption="Sales_Cleaned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vin Betariza" refreshedDate="46056.020913425928" backgroundQuery="1" createdVersion="7" refreshedVersion="7" minRefreshableVersion="3" recordCount="0" supportSubquery="1" supportAdvancedDrill="1" xr:uid="{658C5B53-1BCC-479E-A813-352625509673}">
  <cacheSource type="external" connectionId="3"/>
  <cacheFields count="2">
    <cacheField name="[Measures].[Average of Revenue]" caption="Average of Revenue" numFmtId="0" hierarchy="30" level="32767"/>
    <cacheField name="[Sales_Cleaned].[Region].[Region]" caption="Region" numFmtId="0" hierarchy="4" level="1">
      <sharedItems containsSemiMixedTypes="0" containsNonDate="0" containsString="0"/>
    </cacheField>
  </cacheFields>
  <cacheHierarchies count="31">
    <cacheHierarchy uniqueName="[Sales_Cleaned].[OrderID]" caption="OrderID" attribute="1" defaultMemberUniqueName="[Sales_Cleaned].[OrderID].[All]" allUniqueName="[Sales_Cleaned].[OrderID].[All]" dimensionUniqueName="[Sales_Cleaned]" displayFolder="" count="0" memberValueDatatype="130" unbalanced="0"/>
    <cacheHierarchy uniqueName="[Sales_Cleaned].[OrderDate]" caption="OrderDate" attribute="1" time="1" defaultMemberUniqueName="[Sales_Cleaned].[OrderDate].[All]" allUniqueName="[Sales_Cleaned].[OrderDate].[All]" dimensionUniqueName="[Sales_Cleaned]" displayFolder="" count="2" memberValueDatatype="7" unbalanced="0"/>
    <cacheHierarchy uniqueName="[Sales_Cleaned].[Year]" caption="Year" attribute="1" defaultMemberUniqueName="[Sales_Cleaned].[Year].[All]" allUniqueName="[Sales_Cleaned].[Year].[All]" dimensionUniqueName="[Sales_Cleaned]" displayFolder="" count="0" memberValueDatatype="20" unbalanced="0"/>
    <cacheHierarchy uniqueName="[Sales_Cleaned].[Month]" caption="Month" attribute="1" defaultMemberUniqueName="[Sales_Cleaned].[Month].[All]" allUniqueName="[Sales_Cleaned].[Month].[All]" dimensionUniqueName="[Sales_Cleaned]" displayFolder="" count="0" memberValueDatatype="130" unbalanced="0"/>
    <cacheHierarchy uniqueName="[Sales_Cleaned].[Region]" caption="Region" attribute="1" defaultMemberUniqueName="[Sales_Cleaned].[Region].[All]" allUniqueName="[Sales_Cleaned].[Region].[All]" dimensionUniqueName="[Sales_Cleaned]" displayFolder="" count="2" memberValueDatatype="130" unbalanced="0">
      <fieldsUsage count="2">
        <fieldUsage x="-1"/>
        <fieldUsage x="1"/>
      </fieldsUsage>
    </cacheHierarchy>
    <cacheHierarchy uniqueName="[Sales_Cleaned].[SalesRep]" caption="SalesRep" attribute="1" defaultMemberUniqueName="[Sales_Cleaned].[SalesRep].[All]" allUniqueName="[Sales_Cleaned].[SalesRep].[All]" dimensionUniqueName="[Sales_Cleaned]" displayFolder="" count="0" memberValueDatatype="130" unbalanced="0"/>
    <cacheHierarchy uniqueName="[Sales_Cleaned].[Product]" caption="Product" attribute="1" defaultMemberUniqueName="[Sales_Cleaned].[Product].[All]" allUniqueName="[Sales_Cleaned].[Product].[All]" dimensionUniqueName="[Sales_Cleaned]" displayFolder="" count="2" memberValueDatatype="130" unbalanced="0"/>
    <cacheHierarchy uniqueName="[Sales_Cleaned].[Quantity]" caption="Quantity" attribute="1" defaultMemberUniqueName="[Sales_Cleaned].[Quantity].[All]" allUniqueName="[Sales_Cleaned].[Quantity].[All]" dimensionUniqueName="[Sales_Cleaned]" displayFolder="" count="0" memberValueDatatype="20" unbalanced="0"/>
    <cacheHierarchy uniqueName="[Sales_Cleaned].[UnitPrice]" caption="UnitPrice" attribute="1" defaultMemberUniqueName="[Sales_Cleaned].[UnitPrice].[All]" allUniqueName="[Sales_Cleaned].[UnitPrice].[All]" dimensionUniqueName="[Sales_Cleaned]" displayFolder="" count="0" memberValueDatatype="5" unbalanced="0"/>
    <cacheHierarchy uniqueName="[Sales_Cleaned].[Revenue]" caption="Revenue" attribute="1" defaultMemberUniqueName="[Sales_Cleaned].[Revenue].[All]" allUniqueName="[Sales_Cleaned].[Revenue].[All]" dimensionUniqueName="[Sales_Cleaned]" displayFolder="" count="0" memberValueDatatype="5" unbalanced="0"/>
    <cacheHierarchy uniqueName="[Sales_Cleaned].[MonthNumber]" caption="MonthNumber" attribute="1" defaultMemberUniqueName="[Sales_Cleaned].[MonthNumber].[All]" allUniqueName="[Sales_Cleaned].[MonthNumber].[All]" dimensionUniqueName="[Sales_Cleaned]" displayFolder="" count="0" memberValueDatatype="20" unbalanced="0"/>
    <cacheHierarchy uniqueName="[Sales_Cleaned 1].[OrderID]" caption="OrderID" attribute="1" defaultMemberUniqueName="[Sales_Cleaned 1].[OrderID].[All]" allUniqueName="[Sales_Cleaned 1].[OrderID].[All]" dimensionUniqueName="[Sales_Cleaned 1]" displayFolder="" count="0" memberValueDatatype="130" unbalanced="0"/>
    <cacheHierarchy uniqueName="[Sales_Cleaned 1].[OrderDate]" caption="OrderDate" attribute="1" time="1" defaultMemberUniqueName="[Sales_Cleaned 1].[OrderDate].[All]" allUniqueName="[Sales_Cleaned 1].[OrderDate].[All]" dimensionUniqueName="[Sales_Cleaned 1]" displayFolder="" count="0" memberValueDatatype="7" unbalanced="0"/>
    <cacheHierarchy uniqueName="[Sales_Cleaned 1].[Year]" caption="Year" attribute="1" defaultMemberUniqueName="[Sales_Cleaned 1].[Year].[All]" allUniqueName="[Sales_Cleaned 1].[Year].[All]" dimensionUniqueName="[Sales_Cleaned 1]" displayFolder="" count="0" memberValueDatatype="20" unbalanced="0"/>
    <cacheHierarchy uniqueName="[Sales_Cleaned 1].[Month]" caption="Month" attribute="1" defaultMemberUniqueName="[Sales_Cleaned 1].[Month].[All]" allUniqueName="[Sales_Cleaned 1].[Month].[All]" dimensionUniqueName="[Sales_Cleaned 1]" displayFolder="" count="0" memberValueDatatype="130" unbalanced="0"/>
    <cacheHierarchy uniqueName="[Sales_Cleaned 1].[Region]" caption="Region" attribute="1" defaultMemberUniqueName="[Sales_Cleaned 1].[Region].[All]" allUniqueName="[Sales_Cleaned 1].[Region].[All]" dimensionUniqueName="[Sales_Cleaned 1]" displayFolder="" count="0" memberValueDatatype="130" unbalanced="0"/>
    <cacheHierarchy uniqueName="[Sales_Cleaned 1].[SalesRep]" caption="SalesRep" attribute="1" defaultMemberUniqueName="[Sales_Cleaned 1].[SalesRep].[All]" allUniqueName="[Sales_Cleaned 1].[SalesRep].[All]" dimensionUniqueName="[Sales_Cleaned 1]" displayFolder="" count="0" memberValueDatatype="130" unbalanced="0"/>
    <cacheHierarchy uniqueName="[Sales_Cleaned 1].[Product]" caption="Product" attribute="1" defaultMemberUniqueName="[Sales_Cleaned 1].[Product].[All]" allUniqueName="[Sales_Cleaned 1].[Product].[All]" dimensionUniqueName="[Sales_Cleaned 1]" displayFolder="" count="0" memberValueDatatype="130" unbalanced="0"/>
    <cacheHierarchy uniqueName="[Sales_Cleaned 1].[Quantity]" caption="Quantity" attribute="1" defaultMemberUniqueName="[Sales_Cleaned 1].[Quantity].[All]" allUniqueName="[Sales_Cleaned 1].[Quantity].[All]" dimensionUniqueName="[Sales_Cleaned 1]" displayFolder="" count="0" memberValueDatatype="20" unbalanced="0"/>
    <cacheHierarchy uniqueName="[Sales_Cleaned 1].[UnitPrice]" caption="UnitPrice" attribute="1" defaultMemberUniqueName="[Sales_Cleaned 1].[UnitPrice].[All]" allUniqueName="[Sales_Cleaned 1].[UnitPrice].[All]" dimensionUniqueName="[Sales_Cleaned 1]" displayFolder="" count="0" memberValueDatatype="20" unbalanced="0"/>
    <cacheHierarchy uniqueName="[Sales_Cleaned 1].[Revenue]" caption="Revenue" attribute="1" defaultMemberUniqueName="[Sales_Cleaned 1].[Revenue].[All]" allUniqueName="[Sales_Cleaned 1].[Revenue].[All]" dimensionUniqueName="[Sales_Cleaned 1]" displayFolder="" count="0" memberValueDatatype="130" unbalanced="0"/>
    <cacheHierarchy uniqueName="[Sales_Cleaned 1].[MonthNumber]" caption="MonthNumber" attribute="1" defaultMemberUniqueName="[Sales_Cleaned 1].[MonthNumber].[All]" allUniqueName="[Sales_Cleaned 1].[MonthNumber].[All]" dimensionUniqueName="[Sales_Cleaned 1]" displayFolder="" count="0" memberValueDatatype="20" unbalanced="0"/>
    <cacheHierarchy uniqueName="[Measures].[__XL_Count Sales_Cleaned]" caption="__XL_Count Sales_Cleaned" measure="1" displayFolder="" measureGroup="Sales_Cleaned" count="0" hidden="1"/>
    <cacheHierarchy uniqueName="[Measures].[__XL_Count Sales_Cleaned 1]" caption="__XL_Count Sales_Cleaned 1" measure="1" displayFolder="" measureGroup="Sales_Cleaned 1" count="0" hidden="1"/>
    <cacheHierarchy uniqueName="[Measures].[__No measures defined]" caption="__No measures defined" measure="1" displayFolder="" count="0" hidden="1"/>
    <cacheHierarchy uniqueName="[Measures].[Count of Revenue]" caption="Count of Revenue" measure="1" displayFolder="" measureGroup="Sales_Cleaned" count="0" hidden="1">
      <extLst>
        <ext xmlns:x15="http://schemas.microsoft.com/office/spreadsheetml/2010/11/main" uri="{B97F6D7D-B522-45F9-BDA1-12C45D357490}">
          <x15:cacheHierarchy aggregatedColumn="9"/>
        </ext>
      </extLst>
    </cacheHierarchy>
    <cacheHierarchy uniqueName="[Measures].[Count of Revenue 2]" caption="Count of Revenue 2" measure="1" displayFolder="" measureGroup="Sales_Cleaned 1"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Sales_Cleaned"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_Cleaned" count="0" hidden="1">
      <extLst>
        <ext xmlns:x15="http://schemas.microsoft.com/office/spreadsheetml/2010/11/main" uri="{B97F6D7D-B522-45F9-BDA1-12C45D357490}">
          <x15:cacheHierarchy aggregatedColumn="7"/>
        </ext>
      </extLst>
    </cacheHierarchy>
    <cacheHierarchy uniqueName="[Measures].[Count of OrderID]" caption="Count of OrderID" measure="1" displayFolder="" measureGroup="Sales_Cleaned"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Sales_Cleaned"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Sales_Cleaned" uniqueName="[Sales_Cleaned]" caption="Sales_Cleaned"/>
    <dimension name="Sales_Cleaned 1" uniqueName="[Sales_Cleaned 1]" caption="Sales_Cleaned 1"/>
  </dimensions>
  <measureGroups count="2">
    <measureGroup name="Sales_Cleaned" caption="Sales_Cleaned"/>
    <measureGroup name="Sales_Cleaned 1" caption="Sales_Cleaned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vin Betariza" refreshedDate="46056.020913541666" backgroundQuery="1" createdVersion="7" refreshedVersion="7" minRefreshableVersion="3" recordCount="0" supportSubquery="1" supportAdvancedDrill="1" xr:uid="{E0E2EE12-A0DA-49C2-B9B0-BEF657F200B2}">
  <cacheSource type="external" connectionId="3"/>
  <cacheFields count="2">
    <cacheField name="[Measures].[Count of OrderID]" caption="Count of OrderID" numFmtId="0" hierarchy="29" level="32767"/>
    <cacheField name="[Sales_Cleaned].[Region].[Region]" caption="Region" numFmtId="0" hierarchy="4" level="1">
      <sharedItems containsSemiMixedTypes="0" containsNonDate="0" containsString="0"/>
    </cacheField>
  </cacheFields>
  <cacheHierarchies count="31">
    <cacheHierarchy uniqueName="[Sales_Cleaned].[OrderID]" caption="OrderID" attribute="1" defaultMemberUniqueName="[Sales_Cleaned].[OrderID].[All]" allUniqueName="[Sales_Cleaned].[OrderID].[All]" dimensionUniqueName="[Sales_Cleaned]" displayFolder="" count="0" memberValueDatatype="130" unbalanced="0"/>
    <cacheHierarchy uniqueName="[Sales_Cleaned].[OrderDate]" caption="OrderDate" attribute="1" time="1" defaultMemberUniqueName="[Sales_Cleaned].[OrderDate].[All]" allUniqueName="[Sales_Cleaned].[OrderDate].[All]" dimensionUniqueName="[Sales_Cleaned]" displayFolder="" count="2" memberValueDatatype="7" unbalanced="0"/>
    <cacheHierarchy uniqueName="[Sales_Cleaned].[Year]" caption="Year" attribute="1" defaultMemberUniqueName="[Sales_Cleaned].[Year].[All]" allUniqueName="[Sales_Cleaned].[Year].[All]" dimensionUniqueName="[Sales_Cleaned]" displayFolder="" count="0" memberValueDatatype="20" unbalanced="0"/>
    <cacheHierarchy uniqueName="[Sales_Cleaned].[Month]" caption="Month" attribute="1" defaultMemberUniqueName="[Sales_Cleaned].[Month].[All]" allUniqueName="[Sales_Cleaned].[Month].[All]" dimensionUniqueName="[Sales_Cleaned]" displayFolder="" count="0" memberValueDatatype="130" unbalanced="0"/>
    <cacheHierarchy uniqueName="[Sales_Cleaned].[Region]" caption="Region" attribute="1" defaultMemberUniqueName="[Sales_Cleaned].[Region].[All]" allUniqueName="[Sales_Cleaned].[Region].[All]" dimensionUniqueName="[Sales_Cleaned]" displayFolder="" count="2" memberValueDatatype="130" unbalanced="0">
      <fieldsUsage count="2">
        <fieldUsage x="-1"/>
        <fieldUsage x="1"/>
      </fieldsUsage>
    </cacheHierarchy>
    <cacheHierarchy uniqueName="[Sales_Cleaned].[SalesRep]" caption="SalesRep" attribute="1" defaultMemberUniqueName="[Sales_Cleaned].[SalesRep].[All]" allUniqueName="[Sales_Cleaned].[SalesRep].[All]" dimensionUniqueName="[Sales_Cleaned]" displayFolder="" count="0" memberValueDatatype="130" unbalanced="0"/>
    <cacheHierarchy uniqueName="[Sales_Cleaned].[Product]" caption="Product" attribute="1" defaultMemberUniqueName="[Sales_Cleaned].[Product].[All]" allUniqueName="[Sales_Cleaned].[Product].[All]" dimensionUniqueName="[Sales_Cleaned]" displayFolder="" count="2" memberValueDatatype="130" unbalanced="0"/>
    <cacheHierarchy uniqueName="[Sales_Cleaned].[Quantity]" caption="Quantity" attribute="1" defaultMemberUniqueName="[Sales_Cleaned].[Quantity].[All]" allUniqueName="[Sales_Cleaned].[Quantity].[All]" dimensionUniqueName="[Sales_Cleaned]" displayFolder="" count="0" memberValueDatatype="20" unbalanced="0"/>
    <cacheHierarchy uniqueName="[Sales_Cleaned].[UnitPrice]" caption="UnitPrice" attribute="1" defaultMemberUniqueName="[Sales_Cleaned].[UnitPrice].[All]" allUniqueName="[Sales_Cleaned].[UnitPrice].[All]" dimensionUniqueName="[Sales_Cleaned]" displayFolder="" count="0" memberValueDatatype="5" unbalanced="0"/>
    <cacheHierarchy uniqueName="[Sales_Cleaned].[Revenue]" caption="Revenue" attribute="1" defaultMemberUniqueName="[Sales_Cleaned].[Revenue].[All]" allUniqueName="[Sales_Cleaned].[Revenue].[All]" dimensionUniqueName="[Sales_Cleaned]" displayFolder="" count="0" memberValueDatatype="5" unbalanced="0"/>
    <cacheHierarchy uniqueName="[Sales_Cleaned].[MonthNumber]" caption="MonthNumber" attribute="1" defaultMemberUniqueName="[Sales_Cleaned].[MonthNumber].[All]" allUniqueName="[Sales_Cleaned].[MonthNumber].[All]" dimensionUniqueName="[Sales_Cleaned]" displayFolder="" count="0" memberValueDatatype="20" unbalanced="0"/>
    <cacheHierarchy uniqueName="[Sales_Cleaned 1].[OrderID]" caption="OrderID" attribute="1" defaultMemberUniqueName="[Sales_Cleaned 1].[OrderID].[All]" allUniqueName="[Sales_Cleaned 1].[OrderID].[All]" dimensionUniqueName="[Sales_Cleaned 1]" displayFolder="" count="0" memberValueDatatype="130" unbalanced="0"/>
    <cacheHierarchy uniqueName="[Sales_Cleaned 1].[OrderDate]" caption="OrderDate" attribute="1" time="1" defaultMemberUniqueName="[Sales_Cleaned 1].[OrderDate].[All]" allUniqueName="[Sales_Cleaned 1].[OrderDate].[All]" dimensionUniqueName="[Sales_Cleaned 1]" displayFolder="" count="0" memberValueDatatype="7" unbalanced="0"/>
    <cacheHierarchy uniqueName="[Sales_Cleaned 1].[Year]" caption="Year" attribute="1" defaultMemberUniqueName="[Sales_Cleaned 1].[Year].[All]" allUniqueName="[Sales_Cleaned 1].[Year].[All]" dimensionUniqueName="[Sales_Cleaned 1]" displayFolder="" count="0" memberValueDatatype="20" unbalanced="0"/>
    <cacheHierarchy uniqueName="[Sales_Cleaned 1].[Month]" caption="Month" attribute="1" defaultMemberUniqueName="[Sales_Cleaned 1].[Month].[All]" allUniqueName="[Sales_Cleaned 1].[Month].[All]" dimensionUniqueName="[Sales_Cleaned 1]" displayFolder="" count="0" memberValueDatatype="130" unbalanced="0"/>
    <cacheHierarchy uniqueName="[Sales_Cleaned 1].[Region]" caption="Region" attribute="1" defaultMemberUniqueName="[Sales_Cleaned 1].[Region].[All]" allUniqueName="[Sales_Cleaned 1].[Region].[All]" dimensionUniqueName="[Sales_Cleaned 1]" displayFolder="" count="0" memberValueDatatype="130" unbalanced="0"/>
    <cacheHierarchy uniqueName="[Sales_Cleaned 1].[SalesRep]" caption="SalesRep" attribute="1" defaultMemberUniqueName="[Sales_Cleaned 1].[SalesRep].[All]" allUniqueName="[Sales_Cleaned 1].[SalesRep].[All]" dimensionUniqueName="[Sales_Cleaned 1]" displayFolder="" count="0" memberValueDatatype="130" unbalanced="0"/>
    <cacheHierarchy uniqueName="[Sales_Cleaned 1].[Product]" caption="Product" attribute="1" defaultMemberUniqueName="[Sales_Cleaned 1].[Product].[All]" allUniqueName="[Sales_Cleaned 1].[Product].[All]" dimensionUniqueName="[Sales_Cleaned 1]" displayFolder="" count="0" memberValueDatatype="130" unbalanced="0"/>
    <cacheHierarchy uniqueName="[Sales_Cleaned 1].[Quantity]" caption="Quantity" attribute="1" defaultMemberUniqueName="[Sales_Cleaned 1].[Quantity].[All]" allUniqueName="[Sales_Cleaned 1].[Quantity].[All]" dimensionUniqueName="[Sales_Cleaned 1]" displayFolder="" count="0" memberValueDatatype="20" unbalanced="0"/>
    <cacheHierarchy uniqueName="[Sales_Cleaned 1].[UnitPrice]" caption="UnitPrice" attribute="1" defaultMemberUniqueName="[Sales_Cleaned 1].[UnitPrice].[All]" allUniqueName="[Sales_Cleaned 1].[UnitPrice].[All]" dimensionUniqueName="[Sales_Cleaned 1]" displayFolder="" count="0" memberValueDatatype="20" unbalanced="0"/>
    <cacheHierarchy uniqueName="[Sales_Cleaned 1].[Revenue]" caption="Revenue" attribute="1" defaultMemberUniqueName="[Sales_Cleaned 1].[Revenue].[All]" allUniqueName="[Sales_Cleaned 1].[Revenue].[All]" dimensionUniqueName="[Sales_Cleaned 1]" displayFolder="" count="0" memberValueDatatype="130" unbalanced="0"/>
    <cacheHierarchy uniqueName="[Sales_Cleaned 1].[MonthNumber]" caption="MonthNumber" attribute="1" defaultMemberUniqueName="[Sales_Cleaned 1].[MonthNumber].[All]" allUniqueName="[Sales_Cleaned 1].[MonthNumber].[All]" dimensionUniqueName="[Sales_Cleaned 1]" displayFolder="" count="0" memberValueDatatype="20" unbalanced="0"/>
    <cacheHierarchy uniqueName="[Measures].[__XL_Count Sales_Cleaned]" caption="__XL_Count Sales_Cleaned" measure="1" displayFolder="" measureGroup="Sales_Cleaned" count="0" hidden="1"/>
    <cacheHierarchy uniqueName="[Measures].[__XL_Count Sales_Cleaned 1]" caption="__XL_Count Sales_Cleaned 1" measure="1" displayFolder="" measureGroup="Sales_Cleaned 1" count="0" hidden="1"/>
    <cacheHierarchy uniqueName="[Measures].[__No measures defined]" caption="__No measures defined" measure="1" displayFolder="" count="0" hidden="1"/>
    <cacheHierarchy uniqueName="[Measures].[Count of Revenue]" caption="Count of Revenue" measure="1" displayFolder="" measureGroup="Sales_Cleaned" count="0" hidden="1">
      <extLst>
        <ext xmlns:x15="http://schemas.microsoft.com/office/spreadsheetml/2010/11/main" uri="{B97F6D7D-B522-45F9-BDA1-12C45D357490}">
          <x15:cacheHierarchy aggregatedColumn="9"/>
        </ext>
      </extLst>
    </cacheHierarchy>
    <cacheHierarchy uniqueName="[Measures].[Count of Revenue 2]" caption="Count of Revenue 2" measure="1" displayFolder="" measureGroup="Sales_Cleaned 1"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Sales_Cleaned"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_Cleaned" count="0" hidden="1">
      <extLst>
        <ext xmlns:x15="http://schemas.microsoft.com/office/spreadsheetml/2010/11/main" uri="{B97F6D7D-B522-45F9-BDA1-12C45D357490}">
          <x15:cacheHierarchy aggregatedColumn="7"/>
        </ext>
      </extLst>
    </cacheHierarchy>
    <cacheHierarchy uniqueName="[Measures].[Count of OrderID]" caption="Count of OrderID" measure="1" displayFolder="" measureGroup="Sales_Cleaned" count="0" oneField="1" hidden="1">
      <fieldsUsage count="1">
        <fieldUsage x="0"/>
      </fieldsUsage>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Sales_Cleaned"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Sales_Cleaned" uniqueName="[Sales_Cleaned]" caption="Sales_Cleaned"/>
    <dimension name="Sales_Cleaned 1" uniqueName="[Sales_Cleaned 1]" caption="Sales_Cleaned 1"/>
  </dimensions>
  <measureGroups count="2">
    <measureGroup name="Sales_Cleaned" caption="Sales_Cleaned"/>
    <measureGroup name="Sales_Cleaned 1" caption="Sales_Cleaned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vin Betariza" refreshedDate="46056.020913773151" backgroundQuery="1" createdVersion="7" refreshedVersion="7" minRefreshableVersion="3" recordCount="0" supportSubquery="1" supportAdvancedDrill="1" xr:uid="{47903601-29DB-4659-9A78-9F094F49B34C}">
  <cacheSource type="external" connectionId="3"/>
  <cacheFields count="2">
    <cacheField name="[Measures].[Sum of Quantity]" caption="Sum of Quantity" numFmtId="0" hierarchy="28" level="32767"/>
    <cacheField name="[Sales_Cleaned].[Region].[Region]" caption="Region" numFmtId="0" hierarchy="4" level="1">
      <sharedItems containsSemiMixedTypes="0" containsNonDate="0" containsString="0"/>
    </cacheField>
  </cacheFields>
  <cacheHierarchies count="31">
    <cacheHierarchy uniqueName="[Sales_Cleaned].[OrderID]" caption="OrderID" attribute="1" defaultMemberUniqueName="[Sales_Cleaned].[OrderID].[All]" allUniqueName="[Sales_Cleaned].[OrderID].[All]" dimensionUniqueName="[Sales_Cleaned]" displayFolder="" count="0" memberValueDatatype="130" unbalanced="0"/>
    <cacheHierarchy uniqueName="[Sales_Cleaned].[OrderDate]" caption="OrderDate" attribute="1" time="1" defaultMemberUniqueName="[Sales_Cleaned].[OrderDate].[All]" allUniqueName="[Sales_Cleaned].[OrderDate].[All]" dimensionUniqueName="[Sales_Cleaned]" displayFolder="" count="2" memberValueDatatype="7" unbalanced="0"/>
    <cacheHierarchy uniqueName="[Sales_Cleaned].[Year]" caption="Year" attribute="1" defaultMemberUniqueName="[Sales_Cleaned].[Year].[All]" allUniqueName="[Sales_Cleaned].[Year].[All]" dimensionUniqueName="[Sales_Cleaned]" displayFolder="" count="0" memberValueDatatype="20" unbalanced="0"/>
    <cacheHierarchy uniqueName="[Sales_Cleaned].[Month]" caption="Month" attribute="1" defaultMemberUniqueName="[Sales_Cleaned].[Month].[All]" allUniqueName="[Sales_Cleaned].[Month].[All]" dimensionUniqueName="[Sales_Cleaned]" displayFolder="" count="0" memberValueDatatype="130" unbalanced="0"/>
    <cacheHierarchy uniqueName="[Sales_Cleaned].[Region]" caption="Region" attribute="1" defaultMemberUniqueName="[Sales_Cleaned].[Region].[All]" allUniqueName="[Sales_Cleaned].[Region].[All]" dimensionUniqueName="[Sales_Cleaned]" displayFolder="" count="2" memberValueDatatype="130" unbalanced="0">
      <fieldsUsage count="2">
        <fieldUsage x="-1"/>
        <fieldUsage x="1"/>
      </fieldsUsage>
    </cacheHierarchy>
    <cacheHierarchy uniqueName="[Sales_Cleaned].[SalesRep]" caption="SalesRep" attribute="1" defaultMemberUniqueName="[Sales_Cleaned].[SalesRep].[All]" allUniqueName="[Sales_Cleaned].[SalesRep].[All]" dimensionUniqueName="[Sales_Cleaned]" displayFolder="" count="0" memberValueDatatype="130" unbalanced="0"/>
    <cacheHierarchy uniqueName="[Sales_Cleaned].[Product]" caption="Product" attribute="1" defaultMemberUniqueName="[Sales_Cleaned].[Product].[All]" allUniqueName="[Sales_Cleaned].[Product].[All]" dimensionUniqueName="[Sales_Cleaned]" displayFolder="" count="2" memberValueDatatype="130" unbalanced="0"/>
    <cacheHierarchy uniqueName="[Sales_Cleaned].[Quantity]" caption="Quantity" attribute="1" defaultMemberUniqueName="[Sales_Cleaned].[Quantity].[All]" allUniqueName="[Sales_Cleaned].[Quantity].[All]" dimensionUniqueName="[Sales_Cleaned]" displayFolder="" count="0" memberValueDatatype="20" unbalanced="0"/>
    <cacheHierarchy uniqueName="[Sales_Cleaned].[UnitPrice]" caption="UnitPrice" attribute="1" defaultMemberUniqueName="[Sales_Cleaned].[UnitPrice].[All]" allUniqueName="[Sales_Cleaned].[UnitPrice].[All]" dimensionUniqueName="[Sales_Cleaned]" displayFolder="" count="0" memberValueDatatype="5" unbalanced="0"/>
    <cacheHierarchy uniqueName="[Sales_Cleaned].[Revenue]" caption="Revenue" attribute="1" defaultMemberUniqueName="[Sales_Cleaned].[Revenue].[All]" allUniqueName="[Sales_Cleaned].[Revenue].[All]" dimensionUniqueName="[Sales_Cleaned]" displayFolder="" count="0" memberValueDatatype="5" unbalanced="0"/>
    <cacheHierarchy uniqueName="[Sales_Cleaned].[MonthNumber]" caption="MonthNumber" attribute="1" defaultMemberUniqueName="[Sales_Cleaned].[MonthNumber].[All]" allUniqueName="[Sales_Cleaned].[MonthNumber].[All]" dimensionUniqueName="[Sales_Cleaned]" displayFolder="" count="0" memberValueDatatype="20" unbalanced="0"/>
    <cacheHierarchy uniqueName="[Sales_Cleaned 1].[OrderID]" caption="OrderID" attribute="1" defaultMemberUniqueName="[Sales_Cleaned 1].[OrderID].[All]" allUniqueName="[Sales_Cleaned 1].[OrderID].[All]" dimensionUniqueName="[Sales_Cleaned 1]" displayFolder="" count="0" memberValueDatatype="130" unbalanced="0"/>
    <cacheHierarchy uniqueName="[Sales_Cleaned 1].[OrderDate]" caption="OrderDate" attribute="1" time="1" defaultMemberUniqueName="[Sales_Cleaned 1].[OrderDate].[All]" allUniqueName="[Sales_Cleaned 1].[OrderDate].[All]" dimensionUniqueName="[Sales_Cleaned 1]" displayFolder="" count="0" memberValueDatatype="7" unbalanced="0"/>
    <cacheHierarchy uniqueName="[Sales_Cleaned 1].[Year]" caption="Year" attribute="1" defaultMemberUniqueName="[Sales_Cleaned 1].[Year].[All]" allUniqueName="[Sales_Cleaned 1].[Year].[All]" dimensionUniqueName="[Sales_Cleaned 1]" displayFolder="" count="0" memberValueDatatype="20" unbalanced="0"/>
    <cacheHierarchy uniqueName="[Sales_Cleaned 1].[Month]" caption="Month" attribute="1" defaultMemberUniqueName="[Sales_Cleaned 1].[Month].[All]" allUniqueName="[Sales_Cleaned 1].[Month].[All]" dimensionUniqueName="[Sales_Cleaned 1]" displayFolder="" count="0" memberValueDatatype="130" unbalanced="0"/>
    <cacheHierarchy uniqueName="[Sales_Cleaned 1].[Region]" caption="Region" attribute="1" defaultMemberUniqueName="[Sales_Cleaned 1].[Region].[All]" allUniqueName="[Sales_Cleaned 1].[Region].[All]" dimensionUniqueName="[Sales_Cleaned 1]" displayFolder="" count="0" memberValueDatatype="130" unbalanced="0"/>
    <cacheHierarchy uniqueName="[Sales_Cleaned 1].[SalesRep]" caption="SalesRep" attribute="1" defaultMemberUniqueName="[Sales_Cleaned 1].[SalesRep].[All]" allUniqueName="[Sales_Cleaned 1].[SalesRep].[All]" dimensionUniqueName="[Sales_Cleaned 1]" displayFolder="" count="0" memberValueDatatype="130" unbalanced="0"/>
    <cacheHierarchy uniqueName="[Sales_Cleaned 1].[Product]" caption="Product" attribute="1" defaultMemberUniqueName="[Sales_Cleaned 1].[Product].[All]" allUniqueName="[Sales_Cleaned 1].[Product].[All]" dimensionUniqueName="[Sales_Cleaned 1]" displayFolder="" count="0" memberValueDatatype="130" unbalanced="0"/>
    <cacheHierarchy uniqueName="[Sales_Cleaned 1].[Quantity]" caption="Quantity" attribute="1" defaultMemberUniqueName="[Sales_Cleaned 1].[Quantity].[All]" allUniqueName="[Sales_Cleaned 1].[Quantity].[All]" dimensionUniqueName="[Sales_Cleaned 1]" displayFolder="" count="0" memberValueDatatype="20" unbalanced="0"/>
    <cacheHierarchy uniqueName="[Sales_Cleaned 1].[UnitPrice]" caption="UnitPrice" attribute="1" defaultMemberUniqueName="[Sales_Cleaned 1].[UnitPrice].[All]" allUniqueName="[Sales_Cleaned 1].[UnitPrice].[All]" dimensionUniqueName="[Sales_Cleaned 1]" displayFolder="" count="0" memberValueDatatype="20" unbalanced="0"/>
    <cacheHierarchy uniqueName="[Sales_Cleaned 1].[Revenue]" caption="Revenue" attribute="1" defaultMemberUniqueName="[Sales_Cleaned 1].[Revenue].[All]" allUniqueName="[Sales_Cleaned 1].[Revenue].[All]" dimensionUniqueName="[Sales_Cleaned 1]" displayFolder="" count="0" memberValueDatatype="130" unbalanced="0"/>
    <cacheHierarchy uniqueName="[Sales_Cleaned 1].[MonthNumber]" caption="MonthNumber" attribute="1" defaultMemberUniqueName="[Sales_Cleaned 1].[MonthNumber].[All]" allUniqueName="[Sales_Cleaned 1].[MonthNumber].[All]" dimensionUniqueName="[Sales_Cleaned 1]" displayFolder="" count="0" memberValueDatatype="20" unbalanced="0"/>
    <cacheHierarchy uniqueName="[Measures].[__XL_Count Sales_Cleaned]" caption="__XL_Count Sales_Cleaned" measure="1" displayFolder="" measureGroup="Sales_Cleaned" count="0" hidden="1"/>
    <cacheHierarchy uniqueName="[Measures].[__XL_Count Sales_Cleaned 1]" caption="__XL_Count Sales_Cleaned 1" measure="1" displayFolder="" measureGroup="Sales_Cleaned 1" count="0" hidden="1"/>
    <cacheHierarchy uniqueName="[Measures].[__No measures defined]" caption="__No measures defined" measure="1" displayFolder="" count="0" hidden="1"/>
    <cacheHierarchy uniqueName="[Measures].[Count of Revenue]" caption="Count of Revenue" measure="1" displayFolder="" measureGroup="Sales_Cleaned" count="0" hidden="1">
      <extLst>
        <ext xmlns:x15="http://schemas.microsoft.com/office/spreadsheetml/2010/11/main" uri="{B97F6D7D-B522-45F9-BDA1-12C45D357490}">
          <x15:cacheHierarchy aggregatedColumn="9"/>
        </ext>
      </extLst>
    </cacheHierarchy>
    <cacheHierarchy uniqueName="[Measures].[Count of Revenue 2]" caption="Count of Revenue 2" measure="1" displayFolder="" measureGroup="Sales_Cleaned 1"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Sales_Cleaned"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_Cleaned"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OrderID]" caption="Count of OrderID" measure="1" displayFolder="" measureGroup="Sales_Cleaned"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Sales_Cleaned"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Sales_Cleaned" uniqueName="[Sales_Cleaned]" caption="Sales_Cleaned"/>
    <dimension name="Sales_Cleaned 1" uniqueName="[Sales_Cleaned 1]" caption="Sales_Cleaned 1"/>
  </dimensions>
  <measureGroups count="2">
    <measureGroup name="Sales_Cleaned" caption="Sales_Cleaned"/>
    <measureGroup name="Sales_Cleaned 1" caption="Sales_Cleaned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vin Betariza" refreshedDate="46056.020913773151" backgroundQuery="1" createdVersion="7" refreshedVersion="7" minRefreshableVersion="3" recordCount="0" supportSubquery="1" supportAdvancedDrill="1" xr:uid="{57ACA42E-D918-4FEA-9DDB-027BFC674AE7}">
  <cacheSource type="external" connectionId="3"/>
  <cacheFields count="2">
    <cacheField name="[Measures].[Sum of Revenue]" caption="Sum of Revenue" numFmtId="0" hierarchy="27" level="32767"/>
    <cacheField name="[Sales_Cleaned].[Region].[Region]" caption="Region" numFmtId="0" hierarchy="4" level="1">
      <sharedItems containsSemiMixedTypes="0" containsNonDate="0" containsString="0"/>
    </cacheField>
  </cacheFields>
  <cacheHierarchies count="31">
    <cacheHierarchy uniqueName="[Sales_Cleaned].[OrderID]" caption="OrderID" attribute="1" defaultMemberUniqueName="[Sales_Cleaned].[OrderID].[All]" allUniqueName="[Sales_Cleaned].[OrderID].[All]" dimensionUniqueName="[Sales_Cleaned]" displayFolder="" count="0" memberValueDatatype="130" unbalanced="0"/>
    <cacheHierarchy uniqueName="[Sales_Cleaned].[OrderDate]" caption="OrderDate" attribute="1" time="1" defaultMemberUniqueName="[Sales_Cleaned].[OrderDate].[All]" allUniqueName="[Sales_Cleaned].[OrderDate].[All]" dimensionUniqueName="[Sales_Cleaned]" displayFolder="" count="2" memberValueDatatype="7" unbalanced="0"/>
    <cacheHierarchy uniqueName="[Sales_Cleaned].[Year]" caption="Year" attribute="1" defaultMemberUniqueName="[Sales_Cleaned].[Year].[All]" allUniqueName="[Sales_Cleaned].[Year].[All]" dimensionUniqueName="[Sales_Cleaned]" displayFolder="" count="0" memberValueDatatype="20" unbalanced="0"/>
    <cacheHierarchy uniqueName="[Sales_Cleaned].[Month]" caption="Month" attribute="1" defaultMemberUniqueName="[Sales_Cleaned].[Month].[All]" allUniqueName="[Sales_Cleaned].[Month].[All]" dimensionUniqueName="[Sales_Cleaned]" displayFolder="" count="0" memberValueDatatype="130" unbalanced="0"/>
    <cacheHierarchy uniqueName="[Sales_Cleaned].[Region]" caption="Region" attribute="1" defaultMemberUniqueName="[Sales_Cleaned].[Region].[All]" allUniqueName="[Sales_Cleaned].[Region].[All]" dimensionUniqueName="[Sales_Cleaned]" displayFolder="" count="2" memberValueDatatype="130" unbalanced="0">
      <fieldsUsage count="2">
        <fieldUsage x="-1"/>
        <fieldUsage x="1"/>
      </fieldsUsage>
    </cacheHierarchy>
    <cacheHierarchy uniqueName="[Sales_Cleaned].[SalesRep]" caption="SalesRep" attribute="1" defaultMemberUniqueName="[Sales_Cleaned].[SalesRep].[All]" allUniqueName="[Sales_Cleaned].[SalesRep].[All]" dimensionUniqueName="[Sales_Cleaned]" displayFolder="" count="0" memberValueDatatype="130" unbalanced="0"/>
    <cacheHierarchy uniqueName="[Sales_Cleaned].[Product]" caption="Product" attribute="1" defaultMemberUniqueName="[Sales_Cleaned].[Product].[All]" allUniqueName="[Sales_Cleaned].[Product].[All]" dimensionUniqueName="[Sales_Cleaned]" displayFolder="" count="2" memberValueDatatype="130" unbalanced="0"/>
    <cacheHierarchy uniqueName="[Sales_Cleaned].[Quantity]" caption="Quantity" attribute="1" defaultMemberUniqueName="[Sales_Cleaned].[Quantity].[All]" allUniqueName="[Sales_Cleaned].[Quantity].[All]" dimensionUniqueName="[Sales_Cleaned]" displayFolder="" count="0" memberValueDatatype="20" unbalanced="0"/>
    <cacheHierarchy uniqueName="[Sales_Cleaned].[UnitPrice]" caption="UnitPrice" attribute="1" defaultMemberUniqueName="[Sales_Cleaned].[UnitPrice].[All]" allUniqueName="[Sales_Cleaned].[UnitPrice].[All]" dimensionUniqueName="[Sales_Cleaned]" displayFolder="" count="0" memberValueDatatype="5" unbalanced="0"/>
    <cacheHierarchy uniqueName="[Sales_Cleaned].[Revenue]" caption="Revenue" attribute="1" defaultMemberUniqueName="[Sales_Cleaned].[Revenue].[All]" allUniqueName="[Sales_Cleaned].[Revenue].[All]" dimensionUniqueName="[Sales_Cleaned]" displayFolder="" count="0" memberValueDatatype="5" unbalanced="0"/>
    <cacheHierarchy uniqueName="[Sales_Cleaned].[MonthNumber]" caption="MonthNumber" attribute="1" defaultMemberUniqueName="[Sales_Cleaned].[MonthNumber].[All]" allUniqueName="[Sales_Cleaned].[MonthNumber].[All]" dimensionUniqueName="[Sales_Cleaned]" displayFolder="" count="0" memberValueDatatype="20" unbalanced="0"/>
    <cacheHierarchy uniqueName="[Sales_Cleaned 1].[OrderID]" caption="OrderID" attribute="1" defaultMemberUniqueName="[Sales_Cleaned 1].[OrderID].[All]" allUniqueName="[Sales_Cleaned 1].[OrderID].[All]" dimensionUniqueName="[Sales_Cleaned 1]" displayFolder="" count="0" memberValueDatatype="130" unbalanced="0"/>
    <cacheHierarchy uniqueName="[Sales_Cleaned 1].[OrderDate]" caption="OrderDate" attribute="1" time="1" defaultMemberUniqueName="[Sales_Cleaned 1].[OrderDate].[All]" allUniqueName="[Sales_Cleaned 1].[OrderDate].[All]" dimensionUniqueName="[Sales_Cleaned 1]" displayFolder="" count="0" memberValueDatatype="7" unbalanced="0"/>
    <cacheHierarchy uniqueName="[Sales_Cleaned 1].[Year]" caption="Year" attribute="1" defaultMemberUniqueName="[Sales_Cleaned 1].[Year].[All]" allUniqueName="[Sales_Cleaned 1].[Year].[All]" dimensionUniqueName="[Sales_Cleaned 1]" displayFolder="" count="0" memberValueDatatype="20" unbalanced="0"/>
    <cacheHierarchy uniqueName="[Sales_Cleaned 1].[Month]" caption="Month" attribute="1" defaultMemberUniqueName="[Sales_Cleaned 1].[Month].[All]" allUniqueName="[Sales_Cleaned 1].[Month].[All]" dimensionUniqueName="[Sales_Cleaned 1]" displayFolder="" count="0" memberValueDatatype="130" unbalanced="0"/>
    <cacheHierarchy uniqueName="[Sales_Cleaned 1].[Region]" caption="Region" attribute="1" defaultMemberUniqueName="[Sales_Cleaned 1].[Region].[All]" allUniqueName="[Sales_Cleaned 1].[Region].[All]" dimensionUniqueName="[Sales_Cleaned 1]" displayFolder="" count="0" memberValueDatatype="130" unbalanced="0"/>
    <cacheHierarchy uniqueName="[Sales_Cleaned 1].[SalesRep]" caption="SalesRep" attribute="1" defaultMemberUniqueName="[Sales_Cleaned 1].[SalesRep].[All]" allUniqueName="[Sales_Cleaned 1].[SalesRep].[All]" dimensionUniqueName="[Sales_Cleaned 1]" displayFolder="" count="0" memberValueDatatype="130" unbalanced="0"/>
    <cacheHierarchy uniqueName="[Sales_Cleaned 1].[Product]" caption="Product" attribute="1" defaultMemberUniqueName="[Sales_Cleaned 1].[Product].[All]" allUniqueName="[Sales_Cleaned 1].[Product].[All]" dimensionUniqueName="[Sales_Cleaned 1]" displayFolder="" count="0" memberValueDatatype="130" unbalanced="0"/>
    <cacheHierarchy uniqueName="[Sales_Cleaned 1].[Quantity]" caption="Quantity" attribute="1" defaultMemberUniqueName="[Sales_Cleaned 1].[Quantity].[All]" allUniqueName="[Sales_Cleaned 1].[Quantity].[All]" dimensionUniqueName="[Sales_Cleaned 1]" displayFolder="" count="0" memberValueDatatype="20" unbalanced="0"/>
    <cacheHierarchy uniqueName="[Sales_Cleaned 1].[UnitPrice]" caption="UnitPrice" attribute="1" defaultMemberUniqueName="[Sales_Cleaned 1].[UnitPrice].[All]" allUniqueName="[Sales_Cleaned 1].[UnitPrice].[All]" dimensionUniqueName="[Sales_Cleaned 1]" displayFolder="" count="0" memberValueDatatype="20" unbalanced="0"/>
    <cacheHierarchy uniqueName="[Sales_Cleaned 1].[Revenue]" caption="Revenue" attribute="1" defaultMemberUniqueName="[Sales_Cleaned 1].[Revenue].[All]" allUniqueName="[Sales_Cleaned 1].[Revenue].[All]" dimensionUniqueName="[Sales_Cleaned 1]" displayFolder="" count="0" memberValueDatatype="130" unbalanced="0"/>
    <cacheHierarchy uniqueName="[Sales_Cleaned 1].[MonthNumber]" caption="MonthNumber" attribute="1" defaultMemberUniqueName="[Sales_Cleaned 1].[MonthNumber].[All]" allUniqueName="[Sales_Cleaned 1].[MonthNumber].[All]" dimensionUniqueName="[Sales_Cleaned 1]" displayFolder="" count="0" memberValueDatatype="20" unbalanced="0"/>
    <cacheHierarchy uniqueName="[Measures].[__XL_Count Sales_Cleaned]" caption="__XL_Count Sales_Cleaned" measure="1" displayFolder="" measureGroup="Sales_Cleaned" count="0" hidden="1"/>
    <cacheHierarchy uniqueName="[Measures].[__XL_Count Sales_Cleaned 1]" caption="__XL_Count Sales_Cleaned 1" measure="1" displayFolder="" measureGroup="Sales_Cleaned 1" count="0" hidden="1"/>
    <cacheHierarchy uniqueName="[Measures].[__No measures defined]" caption="__No measures defined" measure="1" displayFolder="" count="0" hidden="1"/>
    <cacheHierarchy uniqueName="[Measures].[Count of Revenue]" caption="Count of Revenue" measure="1" displayFolder="" measureGroup="Sales_Cleaned" count="0" hidden="1">
      <extLst>
        <ext xmlns:x15="http://schemas.microsoft.com/office/spreadsheetml/2010/11/main" uri="{B97F6D7D-B522-45F9-BDA1-12C45D357490}">
          <x15:cacheHierarchy aggregatedColumn="9"/>
        </ext>
      </extLst>
    </cacheHierarchy>
    <cacheHierarchy uniqueName="[Measures].[Count of Revenue 2]" caption="Count of Revenue 2" measure="1" displayFolder="" measureGroup="Sales_Cleaned 1"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Sales_Cleaned"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_Cleaned" count="0" hidden="1">
      <extLst>
        <ext xmlns:x15="http://schemas.microsoft.com/office/spreadsheetml/2010/11/main" uri="{B97F6D7D-B522-45F9-BDA1-12C45D357490}">
          <x15:cacheHierarchy aggregatedColumn="7"/>
        </ext>
      </extLst>
    </cacheHierarchy>
    <cacheHierarchy uniqueName="[Measures].[Count of OrderID]" caption="Count of OrderID" measure="1" displayFolder="" measureGroup="Sales_Cleaned"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Sales_Cleaned"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Sales_Cleaned" uniqueName="[Sales_Cleaned]" caption="Sales_Cleaned"/>
    <dimension name="Sales_Cleaned 1" uniqueName="[Sales_Cleaned 1]" caption="Sales_Cleaned 1"/>
  </dimensions>
  <measureGroups count="2">
    <measureGroup name="Sales_Cleaned" caption="Sales_Cleaned"/>
    <measureGroup name="Sales_Cleaned 1" caption="Sales_Cleaned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vin Betariza" refreshedDate="46056.00939097222" backgroundQuery="1" createdVersion="3" refreshedVersion="7" minRefreshableVersion="3" recordCount="0" supportSubquery="1" supportAdvancedDrill="1" xr:uid="{0AD5EF43-41A7-4199-8763-044FF5680BCD}">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Sales_Cleaned].[OrderID]" caption="OrderID" attribute="1" defaultMemberUniqueName="[Sales_Cleaned].[OrderID].[All]" allUniqueName="[Sales_Cleaned].[OrderID].[All]" dimensionUniqueName="[Sales_Cleaned]" displayFolder="" count="0" memberValueDatatype="130" unbalanced="0"/>
    <cacheHierarchy uniqueName="[Sales_Cleaned].[OrderDate]" caption="OrderDate" attribute="1" time="1" defaultMemberUniqueName="[Sales_Cleaned].[OrderDate].[All]" allUniqueName="[Sales_Cleaned].[OrderDate].[All]" dimensionUniqueName="[Sales_Cleaned]" displayFolder="" count="0" memberValueDatatype="7" unbalanced="0"/>
    <cacheHierarchy uniqueName="[Sales_Cleaned].[Year]" caption="Year" attribute="1" defaultMemberUniqueName="[Sales_Cleaned].[Year].[All]" allUniqueName="[Sales_Cleaned].[Year].[All]" dimensionUniqueName="[Sales_Cleaned]" displayFolder="" count="0" memberValueDatatype="20" unbalanced="0"/>
    <cacheHierarchy uniqueName="[Sales_Cleaned].[Month]" caption="Month" attribute="1" defaultMemberUniqueName="[Sales_Cleaned].[Month].[All]" allUniqueName="[Sales_Cleaned].[Month].[All]" dimensionUniqueName="[Sales_Cleaned]" displayFolder="" count="0" memberValueDatatype="130" unbalanced="0"/>
    <cacheHierarchy uniqueName="[Sales_Cleaned].[Region]" caption="Region" attribute="1" defaultMemberUniqueName="[Sales_Cleaned].[Region].[All]" allUniqueName="[Sales_Cleaned].[Region].[All]" dimensionUniqueName="[Sales_Cleaned]" displayFolder="" count="2" memberValueDatatype="130" unbalanced="0"/>
    <cacheHierarchy uniqueName="[Sales_Cleaned].[SalesRep]" caption="SalesRep" attribute="1" defaultMemberUniqueName="[Sales_Cleaned].[SalesRep].[All]" allUniqueName="[Sales_Cleaned].[SalesRep].[All]" dimensionUniqueName="[Sales_Cleaned]" displayFolder="" count="0" memberValueDatatype="130" unbalanced="0"/>
    <cacheHierarchy uniqueName="[Sales_Cleaned].[Product]" caption="Product" attribute="1" defaultMemberUniqueName="[Sales_Cleaned].[Product].[All]" allUniqueName="[Sales_Cleaned].[Product].[All]" dimensionUniqueName="[Sales_Cleaned]" displayFolder="" count="2" memberValueDatatype="130" unbalanced="0"/>
    <cacheHierarchy uniqueName="[Sales_Cleaned].[Quantity]" caption="Quantity" attribute="1" defaultMemberUniqueName="[Sales_Cleaned].[Quantity].[All]" allUniqueName="[Sales_Cleaned].[Quantity].[All]" dimensionUniqueName="[Sales_Cleaned]" displayFolder="" count="0" memberValueDatatype="20" unbalanced="0"/>
    <cacheHierarchy uniqueName="[Sales_Cleaned].[UnitPrice]" caption="UnitPrice" attribute="1" defaultMemberUniqueName="[Sales_Cleaned].[UnitPrice].[All]" allUniqueName="[Sales_Cleaned].[UnitPrice].[All]" dimensionUniqueName="[Sales_Cleaned]" displayFolder="" count="0" memberValueDatatype="5" unbalanced="0"/>
    <cacheHierarchy uniqueName="[Sales_Cleaned].[Revenue]" caption="Revenue" attribute="1" defaultMemberUniqueName="[Sales_Cleaned].[Revenue].[All]" allUniqueName="[Sales_Cleaned].[Revenue].[All]" dimensionUniqueName="[Sales_Cleaned]" displayFolder="" count="0" memberValueDatatype="5" unbalanced="0"/>
    <cacheHierarchy uniqueName="[Sales_Cleaned].[MonthNumber]" caption="MonthNumber" attribute="1" defaultMemberUniqueName="[Sales_Cleaned].[MonthNumber].[All]" allUniqueName="[Sales_Cleaned].[MonthNumber].[All]" dimensionUniqueName="[Sales_Cleaned]" displayFolder="" count="0" memberValueDatatype="20" unbalanced="0"/>
    <cacheHierarchy uniqueName="[Sales_Cleaned 1].[OrderID]" caption="OrderID" attribute="1" defaultMemberUniqueName="[Sales_Cleaned 1].[OrderID].[All]" allUniqueName="[Sales_Cleaned 1].[OrderID].[All]" dimensionUniqueName="[Sales_Cleaned 1]" displayFolder="" count="0" memberValueDatatype="130" unbalanced="0"/>
    <cacheHierarchy uniqueName="[Sales_Cleaned 1].[OrderDate]" caption="OrderDate" attribute="1" time="1" defaultMemberUniqueName="[Sales_Cleaned 1].[OrderDate].[All]" allUniqueName="[Sales_Cleaned 1].[OrderDate].[All]" dimensionUniqueName="[Sales_Cleaned 1]" displayFolder="" count="0" memberValueDatatype="7" unbalanced="0"/>
    <cacheHierarchy uniqueName="[Sales_Cleaned 1].[Year]" caption="Year" attribute="1" defaultMemberUniqueName="[Sales_Cleaned 1].[Year].[All]" allUniqueName="[Sales_Cleaned 1].[Year].[All]" dimensionUniqueName="[Sales_Cleaned 1]" displayFolder="" count="0" memberValueDatatype="20" unbalanced="0"/>
    <cacheHierarchy uniqueName="[Sales_Cleaned 1].[Month]" caption="Month" attribute="1" defaultMemberUniqueName="[Sales_Cleaned 1].[Month].[All]" allUniqueName="[Sales_Cleaned 1].[Month].[All]" dimensionUniqueName="[Sales_Cleaned 1]" displayFolder="" count="0" memberValueDatatype="130" unbalanced="0"/>
    <cacheHierarchy uniqueName="[Sales_Cleaned 1].[Region]" caption="Region" attribute="1" defaultMemberUniqueName="[Sales_Cleaned 1].[Region].[All]" allUniqueName="[Sales_Cleaned 1].[Region].[All]" dimensionUniqueName="[Sales_Cleaned 1]" displayFolder="" count="0" memberValueDatatype="130" unbalanced="0"/>
    <cacheHierarchy uniqueName="[Sales_Cleaned 1].[SalesRep]" caption="SalesRep" attribute="1" defaultMemberUniqueName="[Sales_Cleaned 1].[SalesRep].[All]" allUniqueName="[Sales_Cleaned 1].[SalesRep].[All]" dimensionUniqueName="[Sales_Cleaned 1]" displayFolder="" count="0" memberValueDatatype="130" unbalanced="0"/>
    <cacheHierarchy uniqueName="[Sales_Cleaned 1].[Product]" caption="Product" attribute="1" defaultMemberUniqueName="[Sales_Cleaned 1].[Product].[All]" allUniqueName="[Sales_Cleaned 1].[Product].[All]" dimensionUniqueName="[Sales_Cleaned 1]" displayFolder="" count="0" memberValueDatatype="130" unbalanced="0"/>
    <cacheHierarchy uniqueName="[Sales_Cleaned 1].[Quantity]" caption="Quantity" attribute="1" defaultMemberUniqueName="[Sales_Cleaned 1].[Quantity].[All]" allUniqueName="[Sales_Cleaned 1].[Quantity].[All]" dimensionUniqueName="[Sales_Cleaned 1]" displayFolder="" count="0" memberValueDatatype="20" unbalanced="0"/>
    <cacheHierarchy uniqueName="[Sales_Cleaned 1].[UnitPrice]" caption="UnitPrice" attribute="1" defaultMemberUniqueName="[Sales_Cleaned 1].[UnitPrice].[All]" allUniqueName="[Sales_Cleaned 1].[UnitPrice].[All]" dimensionUniqueName="[Sales_Cleaned 1]" displayFolder="" count="0" memberValueDatatype="20" unbalanced="0"/>
    <cacheHierarchy uniqueName="[Sales_Cleaned 1].[Revenue]" caption="Revenue" attribute="1" defaultMemberUniqueName="[Sales_Cleaned 1].[Revenue].[All]" allUniqueName="[Sales_Cleaned 1].[Revenue].[All]" dimensionUniqueName="[Sales_Cleaned 1]" displayFolder="" count="0" memberValueDatatype="130" unbalanced="0"/>
    <cacheHierarchy uniqueName="[Sales_Cleaned 1].[MonthNumber]" caption="MonthNumber" attribute="1" defaultMemberUniqueName="[Sales_Cleaned 1].[MonthNumber].[All]" allUniqueName="[Sales_Cleaned 1].[MonthNumber].[All]" dimensionUniqueName="[Sales_Cleaned 1]" displayFolder="" count="0" memberValueDatatype="20" unbalanced="0"/>
    <cacheHierarchy uniqueName="[Measures].[__XL_Count Sales_Cleaned]" caption="__XL_Count Sales_Cleaned" measure="1" displayFolder="" measureGroup="Sales_Cleaned" count="0" hidden="1"/>
    <cacheHierarchy uniqueName="[Measures].[__XL_Count Sales_Cleaned 1]" caption="__XL_Count Sales_Cleaned 1" measure="1" displayFolder="" measureGroup="Sales_Cleaned 1" count="0" hidden="1"/>
    <cacheHierarchy uniqueName="[Measures].[__No measures defined]" caption="__No measures defined" measure="1" displayFolder="" count="0" hidden="1"/>
    <cacheHierarchy uniqueName="[Measures].[Count of Revenue]" caption="Count of Revenue" measure="1" displayFolder="" measureGroup="Sales_Cleaned" count="0" hidden="1">
      <extLst>
        <ext xmlns:x15="http://schemas.microsoft.com/office/spreadsheetml/2010/11/main" uri="{B97F6D7D-B522-45F9-BDA1-12C45D357490}">
          <x15:cacheHierarchy aggregatedColumn="9"/>
        </ext>
      </extLst>
    </cacheHierarchy>
    <cacheHierarchy uniqueName="[Measures].[Count of Revenue 2]" caption="Count of Revenue 2" measure="1" displayFolder="" measureGroup="Sales_Cleaned 1"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Sales_Cleaned"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_Cleaned" count="0" hidden="1">
      <extLst>
        <ext xmlns:x15="http://schemas.microsoft.com/office/spreadsheetml/2010/11/main" uri="{B97F6D7D-B522-45F9-BDA1-12C45D357490}">
          <x15:cacheHierarchy aggregatedColumn="7"/>
        </ext>
      </extLst>
    </cacheHierarchy>
    <cacheHierarchy uniqueName="[Measures].[Count of OrderID]" caption="Count of OrderID" measure="1" displayFolder="" measureGroup="Sales_Cleaned"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Sales_Cleaned"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265097937"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vin Betariza" refreshedDate="46056.014308333331" backgroundQuery="1" createdVersion="3" refreshedVersion="7" minRefreshableVersion="3" recordCount="0" supportSubquery="1" supportAdvancedDrill="1" xr:uid="{2C126F67-4EB5-40EB-950A-2D10D16E3A15}">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Sales_Cleaned].[OrderID]" caption="OrderID" attribute="1" defaultMemberUniqueName="[Sales_Cleaned].[OrderID].[All]" allUniqueName="[Sales_Cleaned].[OrderID].[All]" dimensionUniqueName="[Sales_Cleaned]" displayFolder="" count="0" memberValueDatatype="130" unbalanced="0"/>
    <cacheHierarchy uniqueName="[Sales_Cleaned].[OrderDate]" caption="OrderDate" attribute="1" time="1" defaultMemberUniqueName="[Sales_Cleaned].[OrderDate].[All]" allUniqueName="[Sales_Cleaned].[OrderDate].[All]" dimensionUniqueName="[Sales_Cleaned]" displayFolder="" count="2" memberValueDatatype="7" unbalanced="0"/>
    <cacheHierarchy uniqueName="[Sales_Cleaned].[Year]" caption="Year" attribute="1" defaultMemberUniqueName="[Sales_Cleaned].[Year].[All]" allUniqueName="[Sales_Cleaned].[Year].[All]" dimensionUniqueName="[Sales_Cleaned]" displayFolder="" count="0" memberValueDatatype="20" unbalanced="0"/>
    <cacheHierarchy uniqueName="[Sales_Cleaned].[Month]" caption="Month" attribute="1" defaultMemberUniqueName="[Sales_Cleaned].[Month].[All]" allUniqueName="[Sales_Cleaned].[Month].[All]" dimensionUniqueName="[Sales_Cleaned]" displayFolder="" count="0" memberValueDatatype="130" unbalanced="0"/>
    <cacheHierarchy uniqueName="[Sales_Cleaned].[Region]" caption="Region" attribute="1" defaultMemberUniqueName="[Sales_Cleaned].[Region].[All]" allUniqueName="[Sales_Cleaned].[Region].[All]" dimensionUniqueName="[Sales_Cleaned]" displayFolder="" count="0" memberValueDatatype="130" unbalanced="0"/>
    <cacheHierarchy uniqueName="[Sales_Cleaned].[SalesRep]" caption="SalesRep" attribute="1" defaultMemberUniqueName="[Sales_Cleaned].[SalesRep].[All]" allUniqueName="[Sales_Cleaned].[SalesRep].[All]" dimensionUniqueName="[Sales_Cleaned]" displayFolder="" count="0" memberValueDatatype="130" unbalanced="0"/>
    <cacheHierarchy uniqueName="[Sales_Cleaned].[Product]" caption="Product" attribute="1" defaultMemberUniqueName="[Sales_Cleaned].[Product].[All]" allUniqueName="[Sales_Cleaned].[Product].[All]" dimensionUniqueName="[Sales_Cleaned]" displayFolder="" count="0" memberValueDatatype="130" unbalanced="0"/>
    <cacheHierarchy uniqueName="[Sales_Cleaned].[Quantity]" caption="Quantity" attribute="1" defaultMemberUniqueName="[Sales_Cleaned].[Quantity].[All]" allUniqueName="[Sales_Cleaned].[Quantity].[All]" dimensionUniqueName="[Sales_Cleaned]" displayFolder="" count="0" memberValueDatatype="20" unbalanced="0"/>
    <cacheHierarchy uniqueName="[Sales_Cleaned].[UnitPrice]" caption="UnitPrice" attribute="1" defaultMemberUniqueName="[Sales_Cleaned].[UnitPrice].[All]" allUniqueName="[Sales_Cleaned].[UnitPrice].[All]" dimensionUniqueName="[Sales_Cleaned]" displayFolder="" count="0" memberValueDatatype="5" unbalanced="0"/>
    <cacheHierarchy uniqueName="[Sales_Cleaned].[Revenue]" caption="Revenue" attribute="1" defaultMemberUniqueName="[Sales_Cleaned].[Revenue].[All]" allUniqueName="[Sales_Cleaned].[Revenue].[All]" dimensionUniqueName="[Sales_Cleaned]" displayFolder="" count="0" memberValueDatatype="5" unbalanced="0"/>
    <cacheHierarchy uniqueName="[Sales_Cleaned].[MonthNumber]" caption="MonthNumber" attribute="1" defaultMemberUniqueName="[Sales_Cleaned].[MonthNumber].[All]" allUniqueName="[Sales_Cleaned].[MonthNumber].[All]" dimensionUniqueName="[Sales_Cleaned]" displayFolder="" count="0" memberValueDatatype="20" unbalanced="0"/>
    <cacheHierarchy uniqueName="[Sales_Cleaned 1].[OrderID]" caption="OrderID" attribute="1" defaultMemberUniqueName="[Sales_Cleaned 1].[OrderID].[All]" allUniqueName="[Sales_Cleaned 1].[OrderID].[All]" dimensionUniqueName="[Sales_Cleaned 1]" displayFolder="" count="0" memberValueDatatype="130" unbalanced="0"/>
    <cacheHierarchy uniqueName="[Sales_Cleaned 1].[OrderDate]" caption="OrderDate" attribute="1" time="1" defaultMemberUniqueName="[Sales_Cleaned 1].[OrderDate].[All]" allUniqueName="[Sales_Cleaned 1].[OrderDate].[All]" dimensionUniqueName="[Sales_Cleaned 1]" displayFolder="" count="0" memberValueDatatype="7" unbalanced="0"/>
    <cacheHierarchy uniqueName="[Sales_Cleaned 1].[Year]" caption="Year" attribute="1" defaultMemberUniqueName="[Sales_Cleaned 1].[Year].[All]" allUniqueName="[Sales_Cleaned 1].[Year].[All]" dimensionUniqueName="[Sales_Cleaned 1]" displayFolder="" count="0" memberValueDatatype="20" unbalanced="0"/>
    <cacheHierarchy uniqueName="[Sales_Cleaned 1].[Month]" caption="Month" attribute="1" defaultMemberUniqueName="[Sales_Cleaned 1].[Month].[All]" allUniqueName="[Sales_Cleaned 1].[Month].[All]" dimensionUniqueName="[Sales_Cleaned 1]" displayFolder="" count="0" memberValueDatatype="130" unbalanced="0"/>
    <cacheHierarchy uniqueName="[Sales_Cleaned 1].[Region]" caption="Region" attribute="1" defaultMemberUniqueName="[Sales_Cleaned 1].[Region].[All]" allUniqueName="[Sales_Cleaned 1].[Region].[All]" dimensionUniqueName="[Sales_Cleaned 1]" displayFolder="" count="0" memberValueDatatype="130" unbalanced="0"/>
    <cacheHierarchy uniqueName="[Sales_Cleaned 1].[SalesRep]" caption="SalesRep" attribute="1" defaultMemberUniqueName="[Sales_Cleaned 1].[SalesRep].[All]" allUniqueName="[Sales_Cleaned 1].[SalesRep].[All]" dimensionUniqueName="[Sales_Cleaned 1]" displayFolder="" count="0" memberValueDatatype="130" unbalanced="0"/>
    <cacheHierarchy uniqueName="[Sales_Cleaned 1].[Product]" caption="Product" attribute="1" defaultMemberUniqueName="[Sales_Cleaned 1].[Product].[All]" allUniqueName="[Sales_Cleaned 1].[Product].[All]" dimensionUniqueName="[Sales_Cleaned 1]" displayFolder="" count="0" memberValueDatatype="130" unbalanced="0"/>
    <cacheHierarchy uniqueName="[Sales_Cleaned 1].[Quantity]" caption="Quantity" attribute="1" defaultMemberUniqueName="[Sales_Cleaned 1].[Quantity].[All]" allUniqueName="[Sales_Cleaned 1].[Quantity].[All]" dimensionUniqueName="[Sales_Cleaned 1]" displayFolder="" count="0" memberValueDatatype="20" unbalanced="0"/>
    <cacheHierarchy uniqueName="[Sales_Cleaned 1].[UnitPrice]" caption="UnitPrice" attribute="1" defaultMemberUniqueName="[Sales_Cleaned 1].[UnitPrice].[All]" allUniqueName="[Sales_Cleaned 1].[UnitPrice].[All]" dimensionUniqueName="[Sales_Cleaned 1]" displayFolder="" count="0" memberValueDatatype="20" unbalanced="0"/>
    <cacheHierarchy uniqueName="[Sales_Cleaned 1].[Revenue]" caption="Revenue" attribute="1" defaultMemberUniqueName="[Sales_Cleaned 1].[Revenue].[All]" allUniqueName="[Sales_Cleaned 1].[Revenue].[All]" dimensionUniqueName="[Sales_Cleaned 1]" displayFolder="" count="0" memberValueDatatype="130" unbalanced="0"/>
    <cacheHierarchy uniqueName="[Sales_Cleaned 1].[MonthNumber]" caption="MonthNumber" attribute="1" defaultMemberUniqueName="[Sales_Cleaned 1].[MonthNumber].[All]" allUniqueName="[Sales_Cleaned 1].[MonthNumber].[All]" dimensionUniqueName="[Sales_Cleaned 1]" displayFolder="" count="0" memberValueDatatype="20" unbalanced="0"/>
    <cacheHierarchy uniqueName="[Measures].[__XL_Count Sales_Cleaned]" caption="__XL_Count Sales_Cleaned" measure="1" displayFolder="" measureGroup="Sales_Cleaned" count="0" hidden="1"/>
    <cacheHierarchy uniqueName="[Measures].[__XL_Count Sales_Cleaned 1]" caption="__XL_Count Sales_Cleaned 1" measure="1" displayFolder="" measureGroup="Sales_Cleaned 1" count="0" hidden="1"/>
    <cacheHierarchy uniqueName="[Measures].[__No measures defined]" caption="__No measures defined" measure="1" displayFolder="" count="0" hidden="1"/>
    <cacheHierarchy uniqueName="[Measures].[Count of Revenue]" caption="Count of Revenue" measure="1" displayFolder="" measureGroup="Sales_Cleaned" count="0" hidden="1">
      <extLst>
        <ext xmlns:x15="http://schemas.microsoft.com/office/spreadsheetml/2010/11/main" uri="{B97F6D7D-B522-45F9-BDA1-12C45D357490}">
          <x15:cacheHierarchy aggregatedColumn="9"/>
        </ext>
      </extLst>
    </cacheHierarchy>
    <cacheHierarchy uniqueName="[Measures].[Count of Revenue 2]" caption="Count of Revenue 2" measure="1" displayFolder="" measureGroup="Sales_Cleaned 1"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Sales_Cleaned"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_Cleaned" count="0" hidden="1">
      <extLst>
        <ext xmlns:x15="http://schemas.microsoft.com/office/spreadsheetml/2010/11/main" uri="{B97F6D7D-B522-45F9-BDA1-12C45D357490}">
          <x15:cacheHierarchy aggregatedColumn="7"/>
        </ext>
      </extLst>
    </cacheHierarchy>
    <cacheHierarchy uniqueName="[Measures].[Count of OrderID]" caption="Count of OrderID" measure="1" displayFolder="" measureGroup="Sales_Cleaned" count="0" hidden="1">
      <extLst>
        <ext xmlns:x15="http://schemas.microsoft.com/office/spreadsheetml/2010/11/main" uri="{B97F6D7D-B522-45F9-BDA1-12C45D357490}">
          <x15:cacheHierarchy aggregatedColumn="0"/>
        </ext>
      </extLst>
    </cacheHierarchy>
    <cacheHierarchy uniqueName="[Measures].[Average of Revenue]" caption="Average of Revenue" measure="1" displayFolder="" measureGroup="Sales_Cleaned"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pivotCacheId="164709213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E3D0B8-F4AB-43DF-8A0F-E0E49BEF113B}" name="Top Sales Reps (Top 5)" cacheId="539"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2">
  <location ref="G7:H13"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4"/>
    </i>
    <i>
      <x v="2"/>
    </i>
    <i>
      <x v="1"/>
    </i>
    <i>
      <x v="3"/>
    </i>
    <i t="grand">
      <x/>
    </i>
  </rowItems>
  <colItems count="1">
    <i/>
  </colItems>
  <dataFields count="1">
    <dataField name="Sum of Revenue" fld="1" baseField="0" baseItem="0" numFmtId="165"/>
  </dataFields>
  <chartFormats count="1">
    <chartFormat chart="1" format="1"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7">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Sales_Cleaned">
        <x15:activeTabTopLevelEntity name="[Sales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95B65F-B548-4CB0-98FD-ED028A77CD71}" name="Revenue by Product" cacheId="53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
  <location ref="D14:E1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 fld="1" baseField="0" baseItem="0" numFmtId="165"/>
  </dataFields>
  <chartFormats count="1">
    <chartFormat chart="1" format="1"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Sales_Cleaned">
        <x15:activeTabTopLevelEntity name="[Sales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9B8058-916B-4B56-BF92-F33353DD3859}" name="Revenue by Region" cacheId="53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
  <location ref="D7:E12"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Revenue" fld="1" baseField="0" baseItem="0" numFmtId="165"/>
  </dataFields>
  <chartFormats count="1">
    <chartFormat chart="1" format="1"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Sales_Cleaned">
        <x15:activeTabTopLevelEntity name="[Sales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517C6C-8D70-424B-B6BF-E155C9C74F58}" name="Revenue Trend (Monthly)" cacheId="530"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2">
  <location ref="A9:B19" firstHeaderRow="1" firstDataRow="1" firstDataCol="1" rowPageCount="1" colPageCount="1"/>
  <pivotFields count="5">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pageFields count="1">
    <pageField fld="2" hier="2" name="[Sales_Cleaned].[Year].[All]" cap="All"/>
  </pageFields>
  <dataFields count="1">
    <dataField name="Sum of Revenue" fld="1" baseField="0" baseItem="0" numFmtId="165"/>
  </dataFields>
  <chartFormats count="1">
    <chartFormat chart="1" format="1"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2" name="[Sales_Cleaned].[OrderDate]">
      <autoFilter ref="A1">
        <filterColumn colId="0">
          <customFilters and="1">
            <customFilter operator="greaterThanOrEqual" val="45839"/>
            <customFilter operator="lessThanOrEqual" val="45930"/>
          </customFilters>
        </filterColumn>
      </autoFilter>
      <extLst>
        <ext xmlns:x15="http://schemas.microsoft.com/office/spreadsheetml/2010/11/main" uri="{0605FD5F-26C8-4aeb-8148-2DB25E43C511}">
          <x15:pivotFilter useWholeDay="1"/>
        </ext>
      </extLst>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Sales_Cleaned">
        <x15:activeTabTopLevelEntity name="[Sales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2CF718-EF7B-4586-977D-63146ED23C64}" name="pvtAvgOrderValue" cacheId="54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9" numFmtId="165"/>
  </dataFields>
  <pivotHierarchies count="3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venu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Sales_Cleaned">
        <x15:activeTabTopLevelEntity name="[Sales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41A7B7-F568-4844-95D7-D10B3FCBABA2}" name="pvtTotalOrders" cacheId="545"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ID" fld="0" subtotal="count" baseField="0" baseItem="0"/>
  </dataFields>
  <pivotHierarchies count="3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Sales_Cleaned">
        <x15:activeTabTopLevelEntity name="[Sales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329006-9770-43A7-86C1-3C98AAE62ED3}" name="pvtTotalQuantity" cacheId="548"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3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Sales_Cleaned">
        <x15:activeTabTopLevelEntity name="[Sales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FC9BC4-80F8-478A-97AE-B97683A3D754}" name="pvtTotalRevenue" cacheId="55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9" numFmtId="165"/>
  </dataFields>
  <pivotHierarchies count="3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Sales_Cleaned">
        <x15:activeTabTopLevelEntity name="[Sales_Cleaned]"/>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E2981A0-11FB-4BAE-81C3-9388C3A8C91E}" autoFormatId="16" applyNumberFormats="0" applyBorderFormats="0" applyFontFormats="0" applyPatternFormats="0" applyAlignmentFormats="0" applyWidthHeightFormats="0">
  <queryTableRefresh nextId="13">
    <queryTableFields count="11">
      <queryTableField id="1" name="OrderID" tableColumnId="1"/>
      <queryTableField id="2" name="OrderDate" tableColumnId="2"/>
      <queryTableField id="3" name="Year" tableColumnId="3"/>
      <queryTableField id="4" name="Month" tableColumnId="4"/>
      <queryTableField id="5" name="Region" tableColumnId="5"/>
      <queryTableField id="6" name="SalesRep" tableColumnId="6"/>
      <queryTableField id="7" name="Product" tableColumnId="7"/>
      <queryTableField id="8" name="Quantity" tableColumnId="8"/>
      <queryTableField id="9" name="UnitPrice" tableColumnId="9"/>
      <queryTableField id="10" name="Revenue" tableColumnId="10"/>
      <queryTableField id="11" name="MonthNumber" tableColumnId="11"/>
    </queryTableFields>
  </queryTableRefresh>
  <extLst>
    <ext xmlns:x15="http://schemas.microsoft.com/office/spreadsheetml/2010/11/main" uri="{883FBD77-0823-4a55-B5E3-86C4891E6966}">
      <x15:queryTable sourceDataName="Query - Sales_Cleaned"/>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2ED3789-97D3-4675-A89A-C174251AFB8D}" sourceName="[Sales_Cleaned].[Region]">
  <pivotTables>
    <pivotTable tabId="4" name="Revenue Trend (Monthly)"/>
    <pivotTable tabId="4" name="Revenue by Product"/>
    <pivotTable tabId="4" name="Revenue by Region"/>
    <pivotTable tabId="4" name="Top Sales Reps (Top 5)"/>
    <pivotTable tabId="4" name="pvtAvgOrderValue"/>
    <pivotTable tabId="4" name="pvtTotalOrders"/>
    <pivotTable tabId="4" name="pvtTotalQuantity"/>
    <pivotTable tabId="4" name="pvtTotalRevenue"/>
  </pivotTables>
  <data>
    <olap pivotCacheId="265097937">
      <levels count="2">
        <level uniqueName="[Sales_Cleaned].[Region].[(All)]" sourceCaption="(All)" count="0"/>
        <level uniqueName="[Sales_Cleaned].[Region].[Region]" sourceCaption="Region" count="4">
          <ranges>
            <range startItem="0">
              <i n="[Sales_Cleaned].[Region].&amp;[East]" c="East"/>
              <i n="[Sales_Cleaned].[Region].&amp;[North]" c="North"/>
              <i n="[Sales_Cleaned].[Region].&amp;[South]" c="South"/>
              <i n="[Sales_Cleaned].[Region].&amp;[West]" c="West"/>
            </range>
          </ranges>
        </level>
      </levels>
      <selections count="1">
        <selection n="[Sales_Cleaned].[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E4BAD51-E7E8-4DD9-9331-524027A5F675}" sourceName="[Sales_Cleaned].[Product]">
  <pivotTables>
    <pivotTable tabId="4" name="Revenue Trend (Monthly)"/>
    <pivotTable tabId="4" name="Revenue by Product"/>
    <pivotTable tabId="4" name="Revenue by Region"/>
    <pivotTable tabId="4" name="Top Sales Reps (Top 5)"/>
    <pivotTable tabId="4" name="pvtAvgOrderValue"/>
    <pivotTable tabId="4" name="pvtTotalOrders"/>
    <pivotTable tabId="4" name="pvtTotalQuantity"/>
    <pivotTable tabId="4" name="pvtTotalRevenue"/>
  </pivotTables>
  <data>
    <olap pivotCacheId="265097937">
      <levels count="2">
        <level uniqueName="[Sales_Cleaned].[Product].[(All)]" sourceCaption="(All)" count="0"/>
        <level uniqueName="[Sales_Cleaned].[Product].[Product]" sourceCaption="Product" count="4">
          <ranges>
            <range startItem="0">
              <i n="[Sales_Cleaned].[Product].&amp;[Keyboard]" c="Keyboard"/>
              <i n="[Sales_Cleaned].[Product].&amp;[Laptop]" c="Laptop"/>
              <i n="[Sales_Cleaned].[Product].&amp;[Monitor]" c="Monitor"/>
              <i n="[Sales_Cleaned].[Product].&amp;[Mouse]" c="Mouse"/>
            </range>
          </ranges>
        </level>
      </levels>
      <selections count="1">
        <selection n="[Sales_Cleaned].[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Region" xr10:uid="{12578660-C096-402E-B0F2-5D336249B431}" cache="Slicer_Region" caption="Region" level="1" rowHeight="241300"/>
  <slicer name="slicerProduct" xr10:uid="{868530DB-F5F7-497F-9EC5-558B43529985}" cache="Slicer_Product" caption="Product"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816047-E30B-45D6-96AD-FAE8A38F8F44}" name="Sales_Cleaned" displayName="Sales_Cleaned" ref="A1:K53" tableType="queryTable" totalsRowShown="0">
  <autoFilter ref="A1:K53" xr:uid="{EF816047-E30B-45D6-96AD-FAE8A38F8F44}"/>
  <tableColumns count="11">
    <tableColumn id="1" xr3:uid="{8565F90B-0631-4869-84C3-EF4D3EC533DD}" uniqueName="1" name="OrderID" queryTableFieldId="1"/>
    <tableColumn id="2" xr3:uid="{685A206F-1269-4BD8-98EE-F097A6D0B153}" uniqueName="2" name="OrderDate" queryTableFieldId="2" dataDxfId="5"/>
    <tableColumn id="3" xr3:uid="{7C38950D-AEAE-4182-A8E7-D5074823AEED}" uniqueName="3" name="Year" queryTableFieldId="3"/>
    <tableColumn id="4" xr3:uid="{A88043B2-E01E-47B0-88C6-A236CF7268EE}" uniqueName="4" name="Month" queryTableFieldId="4" dataDxfId="4"/>
    <tableColumn id="5" xr3:uid="{129B28FC-7113-438F-977E-2D0ADE047AD3}" uniqueName="5" name="Region" queryTableFieldId="5" dataDxfId="3"/>
    <tableColumn id="6" xr3:uid="{AFDD44AB-DFDE-44EE-BC72-6B4659DD02B8}" uniqueName="6" name="SalesRep" queryTableFieldId="6" dataDxfId="2"/>
    <tableColumn id="7" xr3:uid="{96680C3A-8574-4240-AB8C-E460E1E932C7}" uniqueName="7" name="Product" queryTableFieldId="7" dataDxfId="1"/>
    <tableColumn id="8" xr3:uid="{286D5A48-7104-4EBC-8646-194D5FB47333}" uniqueName="8" name="Quantity" queryTableFieldId="8"/>
    <tableColumn id="9" xr3:uid="{60560F7F-1599-40E0-852B-1A208234ADBC}" uniqueName="9" name="UnitPrice" queryTableFieldId="9"/>
    <tableColumn id="10" xr3:uid="{14B60D50-ECE3-4359-90A8-4FAA263A4BF1}" uniqueName="10" name="Revenue" queryTableFieldId="10" dataDxfId="0"/>
    <tableColumn id="11" xr3:uid="{F92E03FD-FB9E-43E8-9E6E-06984C11A3BF}" uniqueName="11" name="MonthNumber"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2E732407-A554-4DEF-B4AB-BCDA65B0C52C}" sourceName="[Sales_Cleaned].[OrderDate]">
  <pivotTables>
    <pivotTable tabId="4" name="pvtAvgOrderValue"/>
    <pivotTable tabId="4" name="pvtTotalOrders"/>
    <pivotTable tabId="4" name="pvtTotalQuantity"/>
    <pivotTable tabId="4" name="pvtTotalRevenue"/>
    <pivotTable tabId="4" name="Revenue by Product"/>
    <pivotTable tabId="4" name="Revenue by Region"/>
    <pivotTable tabId="4" name="Top Sales Reps (Top 5)"/>
  </pivotTables>
  <state minimalRefreshVersion="6" lastRefreshVersion="6" pivotCacheId="1647092133"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lineDate" xr10:uid="{83139B86-3D0D-4095-913F-A34ACBF67A23}" cache="Timeline_OrderDate" caption="OrderDate" level="1" selectionLevel="1" scrollPosition="2025-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16690-7C33-4A16-A53A-D9C4A9574E81}">
  <dimension ref="A3:M6"/>
  <sheetViews>
    <sheetView tabSelected="1" zoomScale="80" zoomScaleNormal="80" workbookViewId="0">
      <selection activeCell="N39" sqref="N39"/>
    </sheetView>
  </sheetViews>
  <sheetFormatPr defaultRowHeight="15" x14ac:dyDescent="0.25"/>
  <sheetData>
    <row r="3" spans="1:13" x14ac:dyDescent="0.25">
      <c r="A3" s="9" t="s">
        <v>113</v>
      </c>
      <c r="B3" s="9"/>
      <c r="C3" s="10"/>
      <c r="D3" s="9" t="s">
        <v>114</v>
      </c>
      <c r="E3" s="9"/>
      <c r="F3" s="10"/>
      <c r="G3" s="10"/>
      <c r="H3" s="9" t="s">
        <v>115</v>
      </c>
      <c r="I3" s="9"/>
      <c r="J3" s="10"/>
      <c r="K3" s="9" t="s">
        <v>116</v>
      </c>
      <c r="L3" s="9"/>
      <c r="M3" s="9"/>
    </row>
    <row r="4" spans="1:13" x14ac:dyDescent="0.25">
      <c r="A4" s="7">
        <f>GETPIVOTDATA("[Measures].[Sum of Revenue]",Pivot_Data!$A$3)</f>
        <v>43880</v>
      </c>
      <c r="B4" s="7"/>
      <c r="C4" s="6"/>
      <c r="D4" s="8">
        <f>GETPIVOTDATA("[Measures].[Sum of Quantity]",Pivot_Data!$C$3)</f>
        <v>328</v>
      </c>
      <c r="E4" s="8"/>
      <c r="F4" s="6"/>
      <c r="G4" s="6"/>
      <c r="H4" s="8">
        <f>GETPIVOTDATA("[Measures].[Count of OrderID]",Pivot_Data!$E$3)</f>
        <v>52</v>
      </c>
      <c r="I4" s="8"/>
      <c r="J4" s="6"/>
      <c r="K4" s="7">
        <f>GETPIVOTDATA("[Measures].[Average of Revenue]",Pivot_Data!$G$3)</f>
        <v>843.84615384615381</v>
      </c>
      <c r="L4" s="7"/>
      <c r="M4" s="7"/>
    </row>
    <row r="5" spans="1:13" x14ac:dyDescent="0.25">
      <c r="A5" s="7"/>
      <c r="B5" s="7"/>
      <c r="C5" s="6"/>
      <c r="D5" s="8"/>
      <c r="E5" s="8"/>
      <c r="F5" s="6"/>
      <c r="G5" s="6"/>
      <c r="H5" s="8"/>
      <c r="I5" s="8"/>
      <c r="J5" s="6"/>
      <c r="K5" s="7"/>
      <c r="L5" s="7"/>
      <c r="M5" s="7"/>
    </row>
    <row r="6" spans="1:13" x14ac:dyDescent="0.25">
      <c r="D6" s="11" t="s">
        <v>117</v>
      </c>
      <c r="E6" s="11"/>
      <c r="F6" s="11"/>
      <c r="G6" s="11"/>
      <c r="H6" s="11"/>
      <c r="I6" s="11"/>
      <c r="J6" s="11"/>
    </row>
  </sheetData>
  <mergeCells count="9">
    <mergeCell ref="D6:J6"/>
    <mergeCell ref="A3:B3"/>
    <mergeCell ref="D3:E3"/>
    <mergeCell ref="H3:I3"/>
    <mergeCell ref="K3:M3"/>
    <mergeCell ref="K4:M5"/>
    <mergeCell ref="A4:B5"/>
    <mergeCell ref="D4:E5"/>
    <mergeCell ref="H4:I5"/>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EEF62-821A-4BE4-9D8B-AE7B9A19CAE3}">
  <dimension ref="A3:H19"/>
  <sheetViews>
    <sheetView showGridLines="0" topLeftCell="A2" workbookViewId="0">
      <selection activeCell="B6" sqref="B6"/>
    </sheetView>
  </sheetViews>
  <sheetFormatPr defaultRowHeight="15" x14ac:dyDescent="0.25"/>
  <cols>
    <col min="1" max="2" width="15.5703125" bestFit="1" customWidth="1"/>
    <col min="3" max="3" width="15.42578125" bestFit="1" customWidth="1"/>
    <col min="4" max="4" width="13.140625" bestFit="1" customWidth="1"/>
    <col min="5" max="5" width="16.140625" bestFit="1" customWidth="1"/>
    <col min="7" max="7" width="19.140625" bestFit="1" customWidth="1"/>
    <col min="8" max="8" width="15.5703125" bestFit="1" customWidth="1"/>
  </cols>
  <sheetData>
    <row r="3" spans="1:8" x14ac:dyDescent="0.25">
      <c r="A3" t="s">
        <v>106</v>
      </c>
      <c r="C3" t="s">
        <v>107</v>
      </c>
      <c r="E3" t="s">
        <v>108</v>
      </c>
      <c r="G3" t="s">
        <v>109</v>
      </c>
    </row>
    <row r="4" spans="1:8" x14ac:dyDescent="0.25">
      <c r="A4" s="3">
        <v>43880</v>
      </c>
      <c r="C4" s="2">
        <v>328</v>
      </c>
      <c r="E4" s="2">
        <v>52</v>
      </c>
      <c r="G4" s="3">
        <v>843.84615384615381</v>
      </c>
    </row>
    <row r="5" spans="1:8" x14ac:dyDescent="0.25">
      <c r="A5" s="3"/>
      <c r="C5" s="2"/>
      <c r="E5" s="2"/>
      <c r="G5" s="3"/>
    </row>
    <row r="6" spans="1:8" x14ac:dyDescent="0.25">
      <c r="A6" s="3"/>
      <c r="C6" s="2"/>
      <c r="E6" s="2"/>
      <c r="G6" s="3"/>
    </row>
    <row r="7" spans="1:8" x14ac:dyDescent="0.25">
      <c r="A7" s="4" t="s">
        <v>2</v>
      </c>
      <c r="B7" t="s" vm="1">
        <v>112</v>
      </c>
      <c r="C7" s="2"/>
      <c r="D7" s="4" t="s">
        <v>110</v>
      </c>
      <c r="E7" t="s">
        <v>106</v>
      </c>
      <c r="G7" s="4" t="s">
        <v>110</v>
      </c>
      <c r="H7" t="s">
        <v>106</v>
      </c>
    </row>
    <row r="8" spans="1:8" x14ac:dyDescent="0.25">
      <c r="D8" s="5" t="s">
        <v>24</v>
      </c>
      <c r="E8" s="3">
        <v>1950</v>
      </c>
      <c r="G8" s="5" t="s">
        <v>97</v>
      </c>
      <c r="H8" s="3">
        <v>6800</v>
      </c>
    </row>
    <row r="9" spans="1:8" x14ac:dyDescent="0.25">
      <c r="A9" s="4" t="s">
        <v>110</v>
      </c>
      <c r="B9" t="s">
        <v>106</v>
      </c>
      <c r="D9" s="5" t="s">
        <v>13</v>
      </c>
      <c r="E9" s="3">
        <v>6440</v>
      </c>
      <c r="G9" s="5" t="s">
        <v>70</v>
      </c>
      <c r="H9" s="3">
        <v>5100</v>
      </c>
    </row>
    <row r="10" spans="1:8" x14ac:dyDescent="0.25">
      <c r="A10" s="5" t="s">
        <v>12</v>
      </c>
      <c r="B10" s="3">
        <v>1700</v>
      </c>
      <c r="D10" s="5" t="s">
        <v>20</v>
      </c>
      <c r="E10" s="3">
        <v>14700</v>
      </c>
      <c r="G10" s="5" t="s">
        <v>91</v>
      </c>
      <c r="H10" s="3">
        <v>3600</v>
      </c>
    </row>
    <row r="11" spans="1:8" x14ac:dyDescent="0.25">
      <c r="A11" s="5" t="s">
        <v>29</v>
      </c>
      <c r="B11" s="3">
        <v>12100</v>
      </c>
      <c r="D11" s="5" t="s">
        <v>30</v>
      </c>
      <c r="E11" s="3">
        <v>20790</v>
      </c>
      <c r="G11" s="5" t="s">
        <v>47</v>
      </c>
      <c r="H11" s="3">
        <v>3400</v>
      </c>
    </row>
    <row r="12" spans="1:8" x14ac:dyDescent="0.25">
      <c r="A12" s="5" t="s">
        <v>17</v>
      </c>
      <c r="B12" s="3">
        <v>4250</v>
      </c>
      <c r="D12" s="5" t="s">
        <v>111</v>
      </c>
      <c r="E12" s="3">
        <v>43880</v>
      </c>
      <c r="G12" s="5" t="s">
        <v>85</v>
      </c>
      <c r="H12" s="3">
        <v>3400</v>
      </c>
    </row>
    <row r="13" spans="1:8" x14ac:dyDescent="0.25">
      <c r="A13" s="5" t="s">
        <v>81</v>
      </c>
      <c r="B13" s="3">
        <v>200</v>
      </c>
      <c r="G13" s="5" t="s">
        <v>111</v>
      </c>
      <c r="H13" s="3">
        <v>22300</v>
      </c>
    </row>
    <row r="14" spans="1:8" x14ac:dyDescent="0.25">
      <c r="A14" s="5" t="s">
        <v>35</v>
      </c>
      <c r="B14" s="3">
        <v>850</v>
      </c>
      <c r="D14" s="4" t="s">
        <v>110</v>
      </c>
      <c r="E14" t="s">
        <v>106</v>
      </c>
    </row>
    <row r="15" spans="1:8" x14ac:dyDescent="0.25">
      <c r="A15" s="5" t="s">
        <v>72</v>
      </c>
      <c r="B15" s="3">
        <v>20280</v>
      </c>
      <c r="D15" s="5" t="s">
        <v>26</v>
      </c>
      <c r="E15" s="3">
        <v>1950</v>
      </c>
    </row>
    <row r="16" spans="1:8" x14ac:dyDescent="0.25">
      <c r="A16" s="5" t="s">
        <v>77</v>
      </c>
      <c r="B16" s="3">
        <v>1500</v>
      </c>
      <c r="D16" s="5" t="s">
        <v>15</v>
      </c>
      <c r="E16" s="3">
        <v>24650</v>
      </c>
    </row>
    <row r="17" spans="1:5" x14ac:dyDescent="0.25">
      <c r="A17" s="5" t="s">
        <v>43</v>
      </c>
      <c r="B17" s="3">
        <v>400</v>
      </c>
      <c r="D17" s="5" t="s">
        <v>22</v>
      </c>
      <c r="E17" s="3">
        <v>14700</v>
      </c>
    </row>
    <row r="18" spans="1:5" x14ac:dyDescent="0.25">
      <c r="A18" s="5" t="s">
        <v>39</v>
      </c>
      <c r="B18" s="3">
        <v>2600</v>
      </c>
      <c r="D18" s="5" t="s">
        <v>32</v>
      </c>
      <c r="E18" s="3">
        <v>2580</v>
      </c>
    </row>
    <row r="19" spans="1:5" x14ac:dyDescent="0.25">
      <c r="A19" s="5" t="s">
        <v>111</v>
      </c>
      <c r="B19" s="3">
        <v>43880</v>
      </c>
      <c r="D19" s="5" t="s">
        <v>111</v>
      </c>
      <c r="E19" s="3">
        <v>43880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B109F-38CF-4506-BDF1-42D932F54C95}">
  <dimension ref="A1:K53"/>
  <sheetViews>
    <sheetView topLeftCell="C1" workbookViewId="0">
      <selection activeCell="L8" sqref="L8"/>
    </sheetView>
  </sheetViews>
  <sheetFormatPr defaultRowHeight="15" x14ac:dyDescent="0.25"/>
  <cols>
    <col min="1" max="1" width="10.28515625" bestFit="1" customWidth="1"/>
    <col min="2" max="2" width="12.5703125" bestFit="1" customWidth="1"/>
    <col min="3" max="3" width="7.28515625" bestFit="1" customWidth="1"/>
    <col min="4" max="4" width="10.85546875" bestFit="1" customWidth="1"/>
    <col min="5" max="5" width="9.42578125" bestFit="1" customWidth="1"/>
    <col min="6" max="6" width="11.42578125" bestFit="1" customWidth="1"/>
    <col min="7" max="7" width="10.140625" bestFit="1" customWidth="1"/>
    <col min="8" max="8" width="11" bestFit="1" customWidth="1"/>
    <col min="9" max="9" width="11.5703125" bestFit="1" customWidth="1"/>
    <col min="10" max="10" width="11.140625" bestFit="1" customWidth="1"/>
    <col min="11" max="11" width="16.7109375" bestFit="1" customWidth="1"/>
    <col min="12" max="12" width="22.57031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s="1">
        <v>45992</v>
      </c>
      <c r="C2">
        <v>2025</v>
      </c>
      <c r="D2" s="2" t="s">
        <v>12</v>
      </c>
      <c r="E2" s="2" t="s">
        <v>13</v>
      </c>
      <c r="F2" s="2" t="s">
        <v>14</v>
      </c>
      <c r="G2" s="2" t="s">
        <v>15</v>
      </c>
      <c r="H2">
        <v>2</v>
      </c>
      <c r="I2">
        <v>850</v>
      </c>
      <c r="J2" s="2">
        <v>1700</v>
      </c>
      <c r="K2">
        <v>12</v>
      </c>
    </row>
    <row r="3" spans="1:11" x14ac:dyDescent="0.25">
      <c r="A3" t="s">
        <v>16</v>
      </c>
      <c r="B3" s="1">
        <v>45672</v>
      </c>
      <c r="C3">
        <v>2025</v>
      </c>
      <c r="D3" s="2" t="s">
        <v>17</v>
      </c>
      <c r="E3" s="2" t="s">
        <v>13</v>
      </c>
      <c r="F3" s="2" t="s">
        <v>18</v>
      </c>
      <c r="G3" s="2" t="s">
        <v>15</v>
      </c>
      <c r="H3">
        <v>1</v>
      </c>
      <c r="I3">
        <v>850</v>
      </c>
      <c r="J3" s="2">
        <v>850</v>
      </c>
      <c r="K3">
        <v>1</v>
      </c>
    </row>
    <row r="4" spans="1:11" x14ac:dyDescent="0.25">
      <c r="A4" t="s">
        <v>19</v>
      </c>
      <c r="B4" s="1">
        <v>45677</v>
      </c>
      <c r="C4">
        <v>2025</v>
      </c>
      <c r="D4" s="2" t="s">
        <v>17</v>
      </c>
      <c r="E4" s="2" t="s">
        <v>20</v>
      </c>
      <c r="F4" s="2" t="s">
        <v>21</v>
      </c>
      <c r="G4" s="2" t="s">
        <v>22</v>
      </c>
      <c r="H4">
        <v>2</v>
      </c>
      <c r="I4">
        <v>300</v>
      </c>
      <c r="J4" s="2">
        <v>600</v>
      </c>
      <c r="K4">
        <v>1</v>
      </c>
    </row>
    <row r="5" spans="1:11" x14ac:dyDescent="0.25">
      <c r="A5" t="s">
        <v>23</v>
      </c>
      <c r="B5" s="1">
        <v>45682</v>
      </c>
      <c r="C5">
        <v>2025</v>
      </c>
      <c r="D5" s="2" t="s">
        <v>17</v>
      </c>
      <c r="E5" s="2" t="s">
        <v>24</v>
      </c>
      <c r="F5" s="2" t="s">
        <v>25</v>
      </c>
      <c r="G5" s="2" t="s">
        <v>26</v>
      </c>
      <c r="H5">
        <v>5</v>
      </c>
      <c r="I5">
        <v>25</v>
      </c>
      <c r="J5" s="2">
        <v>125</v>
      </c>
      <c r="K5">
        <v>1</v>
      </c>
    </row>
    <row r="6" spans="1:11" x14ac:dyDescent="0.25">
      <c r="A6" t="s">
        <v>27</v>
      </c>
      <c r="B6" s="1">
        <v>45685</v>
      </c>
      <c r="C6">
        <v>2025</v>
      </c>
      <c r="D6" s="2" t="s">
        <v>17</v>
      </c>
      <c r="E6" s="2" t="s">
        <v>24</v>
      </c>
      <c r="F6" s="2" t="s">
        <v>25</v>
      </c>
      <c r="G6" s="2" t="s">
        <v>26</v>
      </c>
      <c r="H6">
        <v>5</v>
      </c>
      <c r="I6">
        <v>25</v>
      </c>
      <c r="J6" s="2">
        <v>125</v>
      </c>
      <c r="K6">
        <v>1</v>
      </c>
    </row>
    <row r="7" spans="1:11" x14ac:dyDescent="0.25">
      <c r="A7" t="s">
        <v>28</v>
      </c>
      <c r="B7" s="1">
        <v>45690</v>
      </c>
      <c r="C7">
        <v>2025</v>
      </c>
      <c r="D7" s="2" t="s">
        <v>29</v>
      </c>
      <c r="E7" s="2" t="s">
        <v>30</v>
      </c>
      <c r="F7" s="2" t="s">
        <v>31</v>
      </c>
      <c r="G7" s="2" t="s">
        <v>32</v>
      </c>
      <c r="H7">
        <v>10</v>
      </c>
      <c r="I7">
        <v>15</v>
      </c>
      <c r="J7" s="2">
        <v>150</v>
      </c>
      <c r="K7">
        <v>2</v>
      </c>
    </row>
    <row r="8" spans="1:11" x14ac:dyDescent="0.25">
      <c r="A8" t="s">
        <v>33</v>
      </c>
      <c r="B8" s="1">
        <v>45693</v>
      </c>
      <c r="C8">
        <v>2025</v>
      </c>
      <c r="D8" s="2" t="s">
        <v>29</v>
      </c>
      <c r="E8" s="2" t="s">
        <v>30</v>
      </c>
      <c r="F8" s="2" t="s">
        <v>31</v>
      </c>
      <c r="G8" s="2" t="s">
        <v>32</v>
      </c>
      <c r="H8">
        <v>10</v>
      </c>
      <c r="I8">
        <v>15</v>
      </c>
      <c r="J8" s="2">
        <v>150</v>
      </c>
      <c r="K8">
        <v>2</v>
      </c>
    </row>
    <row r="9" spans="1:11" x14ac:dyDescent="0.25">
      <c r="A9" t="s">
        <v>34</v>
      </c>
      <c r="B9" s="1">
        <v>45810</v>
      </c>
      <c r="C9">
        <v>2025</v>
      </c>
      <c r="D9" s="2" t="s">
        <v>35</v>
      </c>
      <c r="E9" s="2" t="s">
        <v>13</v>
      </c>
      <c r="F9" s="2" t="s">
        <v>36</v>
      </c>
      <c r="G9" s="2" t="s">
        <v>15</v>
      </c>
      <c r="H9">
        <v>1</v>
      </c>
      <c r="I9">
        <v>850</v>
      </c>
      <c r="J9" s="2">
        <v>850</v>
      </c>
      <c r="K9">
        <v>6</v>
      </c>
    </row>
    <row r="10" spans="1:11" x14ac:dyDescent="0.25">
      <c r="A10" t="s">
        <v>37</v>
      </c>
      <c r="B10" s="1">
        <v>45696</v>
      </c>
      <c r="C10">
        <v>2025</v>
      </c>
      <c r="D10" s="2" t="s">
        <v>29</v>
      </c>
      <c r="E10" s="2" t="s">
        <v>13</v>
      </c>
      <c r="F10" s="2" t="s">
        <v>36</v>
      </c>
      <c r="G10" s="2" t="s">
        <v>15</v>
      </c>
      <c r="H10">
        <v>1</v>
      </c>
      <c r="I10">
        <v>850</v>
      </c>
      <c r="J10" s="2">
        <v>850</v>
      </c>
      <c r="K10">
        <v>2</v>
      </c>
    </row>
    <row r="11" spans="1:11" x14ac:dyDescent="0.25">
      <c r="A11" t="s">
        <v>38</v>
      </c>
      <c r="B11" s="1">
        <v>45902</v>
      </c>
      <c r="C11">
        <v>2025</v>
      </c>
      <c r="D11" s="2" t="s">
        <v>39</v>
      </c>
      <c r="E11" s="2" t="s">
        <v>20</v>
      </c>
      <c r="F11" s="2" t="s">
        <v>40</v>
      </c>
      <c r="G11" s="2" t="s">
        <v>22</v>
      </c>
      <c r="H11">
        <v>3</v>
      </c>
      <c r="I11">
        <v>300</v>
      </c>
      <c r="J11" s="2">
        <v>900</v>
      </c>
      <c r="K11">
        <v>9</v>
      </c>
    </row>
    <row r="12" spans="1:11" x14ac:dyDescent="0.25">
      <c r="A12" t="s">
        <v>41</v>
      </c>
      <c r="B12" s="1">
        <v>45698</v>
      </c>
      <c r="C12">
        <v>2025</v>
      </c>
      <c r="D12" s="2" t="s">
        <v>29</v>
      </c>
      <c r="E12" s="2" t="s">
        <v>20</v>
      </c>
      <c r="F12" s="2" t="s">
        <v>40</v>
      </c>
      <c r="G12" s="2" t="s">
        <v>22</v>
      </c>
      <c r="H12">
        <v>3</v>
      </c>
      <c r="I12">
        <v>300</v>
      </c>
      <c r="J12" s="2">
        <v>900</v>
      </c>
      <c r="K12">
        <v>2</v>
      </c>
    </row>
    <row r="13" spans="1:11" x14ac:dyDescent="0.25">
      <c r="A13" t="s">
        <v>42</v>
      </c>
      <c r="B13" s="1">
        <v>45963</v>
      </c>
      <c r="C13">
        <v>2025</v>
      </c>
      <c r="D13" s="2" t="s">
        <v>43</v>
      </c>
      <c r="E13" s="2" t="s">
        <v>24</v>
      </c>
      <c r="F13" s="2" t="s">
        <v>44</v>
      </c>
      <c r="G13" s="2" t="s">
        <v>26</v>
      </c>
      <c r="H13">
        <v>4</v>
      </c>
      <c r="I13">
        <v>25</v>
      </c>
      <c r="J13" s="2">
        <v>100</v>
      </c>
      <c r="K13">
        <v>11</v>
      </c>
    </row>
    <row r="14" spans="1:11" x14ac:dyDescent="0.25">
      <c r="A14" t="s">
        <v>45</v>
      </c>
      <c r="B14" s="1">
        <v>45700</v>
      </c>
      <c r="C14">
        <v>2025</v>
      </c>
      <c r="D14" s="2" t="s">
        <v>29</v>
      </c>
      <c r="E14" s="2" t="s">
        <v>24</v>
      </c>
      <c r="F14" s="2" t="s">
        <v>44</v>
      </c>
      <c r="G14" s="2" t="s">
        <v>26</v>
      </c>
      <c r="H14">
        <v>4</v>
      </c>
      <c r="I14">
        <v>25</v>
      </c>
      <c r="J14" s="2">
        <v>100</v>
      </c>
      <c r="K14">
        <v>2</v>
      </c>
    </row>
    <row r="15" spans="1:11" x14ac:dyDescent="0.25">
      <c r="A15" t="s">
        <v>46</v>
      </c>
      <c r="B15" s="1">
        <v>45701</v>
      </c>
      <c r="C15">
        <v>2025</v>
      </c>
      <c r="D15" s="2" t="s">
        <v>29</v>
      </c>
      <c r="E15" s="2" t="s">
        <v>30</v>
      </c>
      <c r="F15" s="2" t="s">
        <v>47</v>
      </c>
      <c r="G15" s="2" t="s">
        <v>15</v>
      </c>
      <c r="H15">
        <v>2</v>
      </c>
      <c r="I15">
        <v>850</v>
      </c>
      <c r="J15" s="2">
        <v>1700</v>
      </c>
      <c r="K15">
        <v>2</v>
      </c>
    </row>
    <row r="16" spans="1:11" x14ac:dyDescent="0.25">
      <c r="A16" t="s">
        <v>48</v>
      </c>
      <c r="B16" s="1">
        <v>45702</v>
      </c>
      <c r="C16">
        <v>2025</v>
      </c>
      <c r="D16" s="2" t="s">
        <v>29</v>
      </c>
      <c r="E16" s="2" t="s">
        <v>30</v>
      </c>
      <c r="F16" s="2" t="s">
        <v>47</v>
      </c>
      <c r="G16" s="2" t="s">
        <v>15</v>
      </c>
      <c r="H16">
        <v>2</v>
      </c>
      <c r="I16">
        <v>850</v>
      </c>
      <c r="J16" s="2">
        <v>1700</v>
      </c>
      <c r="K16">
        <v>2</v>
      </c>
    </row>
    <row r="17" spans="1:11" x14ac:dyDescent="0.25">
      <c r="A17" t="s">
        <v>49</v>
      </c>
      <c r="B17" s="1">
        <v>45703</v>
      </c>
      <c r="C17">
        <v>2025</v>
      </c>
      <c r="D17" s="2" t="s">
        <v>29</v>
      </c>
      <c r="E17" s="2" t="s">
        <v>13</v>
      </c>
      <c r="F17" s="2" t="s">
        <v>50</v>
      </c>
      <c r="G17" s="2" t="s">
        <v>32</v>
      </c>
      <c r="H17">
        <v>8</v>
      </c>
      <c r="I17">
        <v>15</v>
      </c>
      <c r="J17" s="2">
        <v>120</v>
      </c>
      <c r="K17">
        <v>2</v>
      </c>
    </row>
    <row r="18" spans="1:11" x14ac:dyDescent="0.25">
      <c r="A18" t="s">
        <v>51</v>
      </c>
      <c r="B18" s="1">
        <v>45704</v>
      </c>
      <c r="C18">
        <v>2025</v>
      </c>
      <c r="D18" s="2" t="s">
        <v>29</v>
      </c>
      <c r="E18" s="2" t="s">
        <v>13</v>
      </c>
      <c r="F18" s="2" t="s">
        <v>50</v>
      </c>
      <c r="G18" s="2" t="s">
        <v>32</v>
      </c>
      <c r="H18">
        <v>8</v>
      </c>
      <c r="I18">
        <v>15</v>
      </c>
      <c r="J18" s="2">
        <v>120</v>
      </c>
      <c r="K18">
        <v>2</v>
      </c>
    </row>
    <row r="19" spans="1:11" x14ac:dyDescent="0.25">
      <c r="A19" t="s">
        <v>52</v>
      </c>
      <c r="B19" s="1">
        <v>45705</v>
      </c>
      <c r="C19">
        <v>2025</v>
      </c>
      <c r="D19" s="2" t="s">
        <v>29</v>
      </c>
      <c r="E19" s="2" t="s">
        <v>20</v>
      </c>
      <c r="F19" s="2" t="s">
        <v>53</v>
      </c>
      <c r="G19" s="2" t="s">
        <v>22</v>
      </c>
      <c r="H19">
        <v>2</v>
      </c>
      <c r="I19">
        <v>300</v>
      </c>
      <c r="J19" s="2">
        <v>600</v>
      </c>
      <c r="K19">
        <v>2</v>
      </c>
    </row>
    <row r="20" spans="1:11" x14ac:dyDescent="0.25">
      <c r="A20" t="s">
        <v>54</v>
      </c>
      <c r="B20" s="1">
        <v>45706</v>
      </c>
      <c r="C20">
        <v>2025</v>
      </c>
      <c r="D20" s="2" t="s">
        <v>29</v>
      </c>
      <c r="E20" s="2" t="s">
        <v>20</v>
      </c>
      <c r="F20" s="2" t="s">
        <v>53</v>
      </c>
      <c r="G20" s="2" t="s">
        <v>22</v>
      </c>
      <c r="H20">
        <v>2</v>
      </c>
      <c r="I20">
        <v>300</v>
      </c>
      <c r="J20" s="2">
        <v>600</v>
      </c>
      <c r="K20">
        <v>2</v>
      </c>
    </row>
    <row r="21" spans="1:11" x14ac:dyDescent="0.25">
      <c r="A21" t="s">
        <v>55</v>
      </c>
      <c r="B21" s="1">
        <v>45707</v>
      </c>
      <c r="C21">
        <v>2025</v>
      </c>
      <c r="D21" s="2" t="s">
        <v>29</v>
      </c>
      <c r="E21" s="2" t="s">
        <v>24</v>
      </c>
      <c r="F21" s="2" t="s">
        <v>56</v>
      </c>
      <c r="G21" s="2" t="s">
        <v>26</v>
      </c>
      <c r="H21">
        <v>6</v>
      </c>
      <c r="I21">
        <v>25</v>
      </c>
      <c r="J21" s="2">
        <v>150</v>
      </c>
      <c r="K21">
        <v>2</v>
      </c>
    </row>
    <row r="22" spans="1:11" x14ac:dyDescent="0.25">
      <c r="A22" t="s">
        <v>57</v>
      </c>
      <c r="B22" s="1">
        <v>45708</v>
      </c>
      <c r="C22">
        <v>2025</v>
      </c>
      <c r="D22" s="2" t="s">
        <v>29</v>
      </c>
      <c r="E22" s="2" t="s">
        <v>24</v>
      </c>
      <c r="F22" s="2" t="s">
        <v>56</v>
      </c>
      <c r="G22" s="2" t="s">
        <v>26</v>
      </c>
      <c r="H22">
        <v>6</v>
      </c>
      <c r="I22">
        <v>25</v>
      </c>
      <c r="J22" s="2">
        <v>150</v>
      </c>
      <c r="K22">
        <v>2</v>
      </c>
    </row>
    <row r="23" spans="1:11" x14ac:dyDescent="0.25">
      <c r="A23" t="s">
        <v>58</v>
      </c>
      <c r="B23" s="1">
        <v>45709</v>
      </c>
      <c r="C23">
        <v>2025</v>
      </c>
      <c r="D23" s="2" t="s">
        <v>29</v>
      </c>
      <c r="E23" s="2" t="s">
        <v>30</v>
      </c>
      <c r="F23" s="2" t="s">
        <v>59</v>
      </c>
      <c r="G23" s="2" t="s">
        <v>15</v>
      </c>
      <c r="H23">
        <v>1</v>
      </c>
      <c r="I23">
        <v>850</v>
      </c>
      <c r="J23" s="2">
        <v>850</v>
      </c>
      <c r="K23">
        <v>2</v>
      </c>
    </row>
    <row r="24" spans="1:11" x14ac:dyDescent="0.25">
      <c r="A24" t="s">
        <v>60</v>
      </c>
      <c r="B24" s="1">
        <v>45710</v>
      </c>
      <c r="C24">
        <v>2025</v>
      </c>
      <c r="D24" s="2" t="s">
        <v>29</v>
      </c>
      <c r="E24" s="2" t="s">
        <v>30</v>
      </c>
      <c r="F24" s="2" t="s">
        <v>59</v>
      </c>
      <c r="G24" s="2" t="s">
        <v>15</v>
      </c>
      <c r="H24">
        <v>1</v>
      </c>
      <c r="I24">
        <v>850</v>
      </c>
      <c r="J24" s="2">
        <v>850</v>
      </c>
      <c r="K24">
        <v>2</v>
      </c>
    </row>
    <row r="25" spans="1:11" x14ac:dyDescent="0.25">
      <c r="A25" t="s">
        <v>61</v>
      </c>
      <c r="B25" s="1">
        <v>45711</v>
      </c>
      <c r="C25">
        <v>2025</v>
      </c>
      <c r="D25" s="2" t="s">
        <v>29</v>
      </c>
      <c r="E25" s="2" t="s">
        <v>13</v>
      </c>
      <c r="F25" s="2" t="s">
        <v>14</v>
      </c>
      <c r="G25" s="2" t="s">
        <v>32</v>
      </c>
      <c r="H25">
        <v>12</v>
      </c>
      <c r="I25">
        <v>15</v>
      </c>
      <c r="J25" s="2">
        <v>180</v>
      </c>
      <c r="K25">
        <v>2</v>
      </c>
    </row>
    <row r="26" spans="1:11" x14ac:dyDescent="0.25">
      <c r="A26" t="s">
        <v>62</v>
      </c>
      <c r="B26" s="1">
        <v>45712</v>
      </c>
      <c r="C26">
        <v>2025</v>
      </c>
      <c r="D26" s="2" t="s">
        <v>29</v>
      </c>
      <c r="E26" s="2" t="s">
        <v>13</v>
      </c>
      <c r="F26" s="2" t="s">
        <v>14</v>
      </c>
      <c r="G26" s="2" t="s">
        <v>32</v>
      </c>
      <c r="H26">
        <v>12</v>
      </c>
      <c r="I26">
        <v>15</v>
      </c>
      <c r="J26" s="2">
        <v>180</v>
      </c>
      <c r="K26">
        <v>2</v>
      </c>
    </row>
    <row r="27" spans="1:11" x14ac:dyDescent="0.25">
      <c r="A27" t="s">
        <v>63</v>
      </c>
      <c r="B27" s="1">
        <v>45713</v>
      </c>
      <c r="C27">
        <v>2025</v>
      </c>
      <c r="D27" s="2" t="s">
        <v>29</v>
      </c>
      <c r="E27" s="2" t="s">
        <v>20</v>
      </c>
      <c r="F27" s="2" t="s">
        <v>64</v>
      </c>
      <c r="G27" s="2" t="s">
        <v>22</v>
      </c>
      <c r="H27">
        <v>4</v>
      </c>
      <c r="I27">
        <v>300</v>
      </c>
      <c r="J27" s="2">
        <v>1200</v>
      </c>
      <c r="K27">
        <v>2</v>
      </c>
    </row>
    <row r="28" spans="1:11" x14ac:dyDescent="0.25">
      <c r="A28" t="s">
        <v>65</v>
      </c>
      <c r="B28" s="1">
        <v>45714</v>
      </c>
      <c r="C28">
        <v>2025</v>
      </c>
      <c r="D28" s="2" t="s">
        <v>29</v>
      </c>
      <c r="E28" s="2" t="s">
        <v>20</v>
      </c>
      <c r="F28" s="2" t="s">
        <v>64</v>
      </c>
      <c r="G28" s="2" t="s">
        <v>22</v>
      </c>
      <c r="H28">
        <v>4</v>
      </c>
      <c r="I28">
        <v>300</v>
      </c>
      <c r="J28" s="2">
        <v>1200</v>
      </c>
      <c r="K28">
        <v>2</v>
      </c>
    </row>
    <row r="29" spans="1:11" x14ac:dyDescent="0.25">
      <c r="A29" t="s">
        <v>66</v>
      </c>
      <c r="B29" s="1">
        <v>45715</v>
      </c>
      <c r="C29">
        <v>2025</v>
      </c>
      <c r="D29" s="2" t="s">
        <v>29</v>
      </c>
      <c r="E29" s="2" t="s">
        <v>24</v>
      </c>
      <c r="F29" s="2" t="s">
        <v>67</v>
      </c>
      <c r="G29" s="2" t="s">
        <v>26</v>
      </c>
      <c r="H29">
        <v>7</v>
      </c>
      <c r="I29">
        <v>25</v>
      </c>
      <c r="J29" s="2">
        <v>175</v>
      </c>
      <c r="K29">
        <v>2</v>
      </c>
    </row>
    <row r="30" spans="1:11" x14ac:dyDescent="0.25">
      <c r="A30" t="s">
        <v>68</v>
      </c>
      <c r="B30" s="1">
        <v>45716</v>
      </c>
      <c r="C30">
        <v>2025</v>
      </c>
      <c r="D30" s="2" t="s">
        <v>29</v>
      </c>
      <c r="E30" s="2" t="s">
        <v>24</v>
      </c>
      <c r="F30" s="2" t="s">
        <v>67</v>
      </c>
      <c r="G30" s="2" t="s">
        <v>26</v>
      </c>
      <c r="H30">
        <v>7</v>
      </c>
      <c r="I30">
        <v>25</v>
      </c>
      <c r="J30" s="2">
        <v>175</v>
      </c>
      <c r="K30">
        <v>2</v>
      </c>
    </row>
    <row r="31" spans="1:11" x14ac:dyDescent="0.25">
      <c r="A31" t="s">
        <v>69</v>
      </c>
      <c r="B31" s="1">
        <v>45660</v>
      </c>
      <c r="C31">
        <v>2025</v>
      </c>
      <c r="D31" s="2" t="s">
        <v>17</v>
      </c>
      <c r="E31" s="2" t="s">
        <v>30</v>
      </c>
      <c r="F31" s="2" t="s">
        <v>70</v>
      </c>
      <c r="G31" s="2" t="s">
        <v>15</v>
      </c>
      <c r="H31">
        <v>3</v>
      </c>
      <c r="I31">
        <v>850</v>
      </c>
      <c r="J31" s="2">
        <v>2550</v>
      </c>
      <c r="K31">
        <v>1</v>
      </c>
    </row>
    <row r="32" spans="1:11" x14ac:dyDescent="0.25">
      <c r="A32" t="s">
        <v>71</v>
      </c>
      <c r="B32" s="1">
        <v>45718</v>
      </c>
      <c r="C32">
        <v>2025</v>
      </c>
      <c r="D32" s="2" t="s">
        <v>72</v>
      </c>
      <c r="E32" s="2" t="s">
        <v>30</v>
      </c>
      <c r="F32" s="2" t="s">
        <v>70</v>
      </c>
      <c r="G32" s="2" t="s">
        <v>15</v>
      </c>
      <c r="H32">
        <v>3</v>
      </c>
      <c r="I32">
        <v>850</v>
      </c>
      <c r="J32" s="2">
        <v>2550</v>
      </c>
      <c r="K32">
        <v>3</v>
      </c>
    </row>
    <row r="33" spans="1:11" x14ac:dyDescent="0.25">
      <c r="A33" t="s">
        <v>73</v>
      </c>
      <c r="B33" s="1">
        <v>45719</v>
      </c>
      <c r="C33">
        <v>2025</v>
      </c>
      <c r="D33" s="2" t="s">
        <v>72</v>
      </c>
      <c r="E33" s="2" t="s">
        <v>13</v>
      </c>
      <c r="F33" s="2" t="s">
        <v>74</v>
      </c>
      <c r="G33" s="2" t="s">
        <v>32</v>
      </c>
      <c r="H33">
        <v>15</v>
      </c>
      <c r="I33">
        <v>15</v>
      </c>
      <c r="J33" s="2">
        <v>225</v>
      </c>
      <c r="K33">
        <v>3</v>
      </c>
    </row>
    <row r="34" spans="1:11" x14ac:dyDescent="0.25">
      <c r="A34" t="s">
        <v>75</v>
      </c>
      <c r="B34" s="1">
        <v>45720</v>
      </c>
      <c r="C34">
        <v>2025</v>
      </c>
      <c r="D34" s="2" t="s">
        <v>72</v>
      </c>
      <c r="E34" s="2" t="s">
        <v>13</v>
      </c>
      <c r="F34" s="2" t="s">
        <v>74</v>
      </c>
      <c r="G34" s="2" t="s">
        <v>32</v>
      </c>
      <c r="H34">
        <v>15</v>
      </c>
      <c r="I34">
        <v>15</v>
      </c>
      <c r="J34" s="2">
        <v>225</v>
      </c>
      <c r="K34">
        <v>3</v>
      </c>
    </row>
    <row r="35" spans="1:11" x14ac:dyDescent="0.25">
      <c r="A35" t="s">
        <v>76</v>
      </c>
      <c r="B35" s="1">
        <v>45780</v>
      </c>
      <c r="C35">
        <v>2025</v>
      </c>
      <c r="D35" s="2" t="s">
        <v>77</v>
      </c>
      <c r="E35" s="2" t="s">
        <v>20</v>
      </c>
      <c r="F35" s="2" t="s">
        <v>78</v>
      </c>
      <c r="G35" s="2" t="s">
        <v>22</v>
      </c>
      <c r="H35">
        <v>5</v>
      </c>
      <c r="I35">
        <v>300</v>
      </c>
      <c r="J35" s="2">
        <v>1500</v>
      </c>
      <c r="K35">
        <v>5</v>
      </c>
    </row>
    <row r="36" spans="1:11" x14ac:dyDescent="0.25">
      <c r="A36" t="s">
        <v>79</v>
      </c>
      <c r="B36" s="1">
        <v>45722</v>
      </c>
      <c r="C36">
        <v>2025</v>
      </c>
      <c r="D36" s="2" t="s">
        <v>72</v>
      </c>
      <c r="E36" s="2" t="s">
        <v>20</v>
      </c>
      <c r="F36" s="2" t="s">
        <v>78</v>
      </c>
      <c r="G36" s="2" t="s">
        <v>22</v>
      </c>
      <c r="H36">
        <v>5</v>
      </c>
      <c r="I36">
        <v>300</v>
      </c>
      <c r="J36" s="2">
        <v>1500</v>
      </c>
      <c r="K36">
        <v>3</v>
      </c>
    </row>
    <row r="37" spans="1:11" x14ac:dyDescent="0.25">
      <c r="A37" t="s">
        <v>80</v>
      </c>
      <c r="B37" s="1">
        <v>45841</v>
      </c>
      <c r="C37">
        <v>2025</v>
      </c>
      <c r="D37" s="2" t="s">
        <v>81</v>
      </c>
      <c r="E37" s="2" t="s">
        <v>24</v>
      </c>
      <c r="F37" s="2" t="s">
        <v>82</v>
      </c>
      <c r="G37" s="2" t="s">
        <v>26</v>
      </c>
      <c r="H37">
        <v>8</v>
      </c>
      <c r="I37">
        <v>25</v>
      </c>
      <c r="J37" s="2">
        <v>200</v>
      </c>
      <c r="K37">
        <v>7</v>
      </c>
    </row>
    <row r="38" spans="1:11" x14ac:dyDescent="0.25">
      <c r="A38" t="s">
        <v>83</v>
      </c>
      <c r="B38" s="1">
        <v>45724</v>
      </c>
      <c r="C38">
        <v>2025</v>
      </c>
      <c r="D38" s="2" t="s">
        <v>72</v>
      </c>
      <c r="E38" s="2" t="s">
        <v>24</v>
      </c>
      <c r="F38" s="2" t="s">
        <v>82</v>
      </c>
      <c r="G38" s="2" t="s">
        <v>26</v>
      </c>
      <c r="H38">
        <v>8</v>
      </c>
      <c r="I38">
        <v>25</v>
      </c>
      <c r="J38" s="2">
        <v>200</v>
      </c>
      <c r="K38">
        <v>3</v>
      </c>
    </row>
    <row r="39" spans="1:11" x14ac:dyDescent="0.25">
      <c r="A39" t="s">
        <v>84</v>
      </c>
      <c r="B39" s="1">
        <v>45903</v>
      </c>
      <c r="C39">
        <v>2025</v>
      </c>
      <c r="D39" s="2" t="s">
        <v>39</v>
      </c>
      <c r="E39" s="2" t="s">
        <v>30</v>
      </c>
      <c r="F39" s="2" t="s">
        <v>85</v>
      </c>
      <c r="G39" s="2" t="s">
        <v>15</v>
      </c>
      <c r="H39">
        <v>2</v>
      </c>
      <c r="I39">
        <v>850</v>
      </c>
      <c r="J39" s="2">
        <v>1700</v>
      </c>
      <c r="K39">
        <v>9</v>
      </c>
    </row>
    <row r="40" spans="1:11" x14ac:dyDescent="0.25">
      <c r="A40" t="s">
        <v>86</v>
      </c>
      <c r="B40" s="1">
        <v>45726</v>
      </c>
      <c r="C40">
        <v>2025</v>
      </c>
      <c r="D40" s="2" t="s">
        <v>72</v>
      </c>
      <c r="E40" s="2" t="s">
        <v>30</v>
      </c>
      <c r="F40" s="2" t="s">
        <v>85</v>
      </c>
      <c r="G40" s="2" t="s">
        <v>15</v>
      </c>
      <c r="H40">
        <v>2</v>
      </c>
      <c r="I40">
        <v>850</v>
      </c>
      <c r="J40" s="2">
        <v>1700</v>
      </c>
      <c r="K40">
        <v>3</v>
      </c>
    </row>
    <row r="41" spans="1:11" x14ac:dyDescent="0.25">
      <c r="A41" t="s">
        <v>87</v>
      </c>
      <c r="B41" s="1">
        <v>45964</v>
      </c>
      <c r="C41">
        <v>2025</v>
      </c>
      <c r="D41" s="2" t="s">
        <v>43</v>
      </c>
      <c r="E41" s="2" t="s">
        <v>13</v>
      </c>
      <c r="F41" s="2" t="s">
        <v>88</v>
      </c>
      <c r="G41" s="2" t="s">
        <v>32</v>
      </c>
      <c r="H41">
        <v>20</v>
      </c>
      <c r="I41">
        <v>15</v>
      </c>
      <c r="J41" s="2">
        <v>300</v>
      </c>
      <c r="K41">
        <v>11</v>
      </c>
    </row>
    <row r="42" spans="1:11" x14ac:dyDescent="0.25">
      <c r="A42" t="s">
        <v>89</v>
      </c>
      <c r="B42" s="1">
        <v>45728</v>
      </c>
      <c r="C42">
        <v>2025</v>
      </c>
      <c r="D42" s="2" t="s">
        <v>72</v>
      </c>
      <c r="E42" s="2" t="s">
        <v>13</v>
      </c>
      <c r="F42" s="2" t="s">
        <v>88</v>
      </c>
      <c r="G42" s="2" t="s">
        <v>32</v>
      </c>
      <c r="H42">
        <v>20</v>
      </c>
      <c r="I42">
        <v>15</v>
      </c>
      <c r="J42" s="2">
        <v>300</v>
      </c>
      <c r="K42">
        <v>3</v>
      </c>
    </row>
    <row r="43" spans="1:11" x14ac:dyDescent="0.25">
      <c r="A43" t="s">
        <v>90</v>
      </c>
      <c r="B43" s="1">
        <v>45729</v>
      </c>
      <c r="C43">
        <v>2025</v>
      </c>
      <c r="D43" s="2" t="s">
        <v>72</v>
      </c>
      <c r="E43" s="2" t="s">
        <v>20</v>
      </c>
      <c r="F43" s="2" t="s">
        <v>91</v>
      </c>
      <c r="G43" s="2" t="s">
        <v>22</v>
      </c>
      <c r="H43">
        <v>6</v>
      </c>
      <c r="I43">
        <v>300</v>
      </c>
      <c r="J43" s="2">
        <v>1800</v>
      </c>
      <c r="K43">
        <v>3</v>
      </c>
    </row>
    <row r="44" spans="1:11" x14ac:dyDescent="0.25">
      <c r="A44" t="s">
        <v>92</v>
      </c>
      <c r="B44" s="1">
        <v>45730</v>
      </c>
      <c r="C44">
        <v>2025</v>
      </c>
      <c r="D44" s="2" t="s">
        <v>72</v>
      </c>
      <c r="E44" s="2" t="s">
        <v>20</v>
      </c>
      <c r="F44" s="2" t="s">
        <v>91</v>
      </c>
      <c r="G44" s="2" t="s">
        <v>22</v>
      </c>
      <c r="H44">
        <v>6</v>
      </c>
      <c r="I44">
        <v>300</v>
      </c>
      <c r="J44" s="2">
        <v>1800</v>
      </c>
      <c r="K44">
        <v>3</v>
      </c>
    </row>
    <row r="45" spans="1:11" x14ac:dyDescent="0.25">
      <c r="A45" t="s">
        <v>93</v>
      </c>
      <c r="B45" s="1">
        <v>45731</v>
      </c>
      <c r="C45">
        <v>2025</v>
      </c>
      <c r="D45" s="2" t="s">
        <v>72</v>
      </c>
      <c r="E45" s="2" t="s">
        <v>24</v>
      </c>
      <c r="F45" s="2" t="s">
        <v>94</v>
      </c>
      <c r="G45" s="2" t="s">
        <v>26</v>
      </c>
      <c r="H45">
        <v>9</v>
      </c>
      <c r="I45">
        <v>25</v>
      </c>
      <c r="J45" s="2">
        <v>225</v>
      </c>
      <c r="K45">
        <v>3</v>
      </c>
    </row>
    <row r="46" spans="1:11" x14ac:dyDescent="0.25">
      <c r="A46" t="s">
        <v>95</v>
      </c>
      <c r="B46" s="1">
        <v>45732</v>
      </c>
      <c r="C46">
        <v>2025</v>
      </c>
      <c r="D46" s="2" t="s">
        <v>72</v>
      </c>
      <c r="E46" s="2" t="s">
        <v>24</v>
      </c>
      <c r="F46" s="2" t="s">
        <v>94</v>
      </c>
      <c r="G46" s="2" t="s">
        <v>26</v>
      </c>
      <c r="H46">
        <v>9</v>
      </c>
      <c r="I46">
        <v>25</v>
      </c>
      <c r="J46" s="2">
        <v>225</v>
      </c>
      <c r="K46">
        <v>3</v>
      </c>
    </row>
    <row r="47" spans="1:11" x14ac:dyDescent="0.25">
      <c r="A47" t="s">
        <v>96</v>
      </c>
      <c r="B47" s="1">
        <v>45733</v>
      </c>
      <c r="C47">
        <v>2025</v>
      </c>
      <c r="D47" s="2" t="s">
        <v>72</v>
      </c>
      <c r="E47" s="2" t="s">
        <v>30</v>
      </c>
      <c r="F47" s="2" t="s">
        <v>97</v>
      </c>
      <c r="G47" s="2" t="s">
        <v>15</v>
      </c>
      <c r="H47">
        <v>4</v>
      </c>
      <c r="I47">
        <v>850</v>
      </c>
      <c r="J47" s="2">
        <v>3400</v>
      </c>
      <c r="K47">
        <v>3</v>
      </c>
    </row>
    <row r="48" spans="1:11" x14ac:dyDescent="0.25">
      <c r="A48" t="s">
        <v>98</v>
      </c>
      <c r="B48" s="1">
        <v>45734</v>
      </c>
      <c r="C48">
        <v>2025</v>
      </c>
      <c r="D48" s="2" t="s">
        <v>72</v>
      </c>
      <c r="E48" s="2" t="s">
        <v>30</v>
      </c>
      <c r="F48" s="2" t="s">
        <v>97</v>
      </c>
      <c r="G48" s="2" t="s">
        <v>15</v>
      </c>
      <c r="H48">
        <v>4</v>
      </c>
      <c r="I48">
        <v>850</v>
      </c>
      <c r="J48" s="2">
        <v>3400</v>
      </c>
      <c r="K48">
        <v>3</v>
      </c>
    </row>
    <row r="49" spans="1:11" x14ac:dyDescent="0.25">
      <c r="A49" t="s">
        <v>99</v>
      </c>
      <c r="B49" s="1">
        <v>45735</v>
      </c>
      <c r="C49">
        <v>2025</v>
      </c>
      <c r="D49" s="2" t="s">
        <v>72</v>
      </c>
      <c r="E49" s="2" t="s">
        <v>13</v>
      </c>
      <c r="F49" s="2" t="s">
        <v>100</v>
      </c>
      <c r="G49" s="2" t="s">
        <v>32</v>
      </c>
      <c r="H49">
        <v>18</v>
      </c>
      <c r="I49">
        <v>15</v>
      </c>
      <c r="J49" s="2">
        <v>270</v>
      </c>
      <c r="K49">
        <v>3</v>
      </c>
    </row>
    <row r="50" spans="1:11" x14ac:dyDescent="0.25">
      <c r="A50" t="s">
        <v>101</v>
      </c>
      <c r="B50" s="1">
        <v>45736</v>
      </c>
      <c r="C50">
        <v>2025</v>
      </c>
      <c r="D50" s="2" t="s">
        <v>72</v>
      </c>
      <c r="E50" s="2" t="s">
        <v>13</v>
      </c>
      <c r="F50" s="2" t="s">
        <v>100</v>
      </c>
      <c r="G50" s="2" t="s">
        <v>32</v>
      </c>
      <c r="H50">
        <v>18</v>
      </c>
      <c r="I50">
        <v>15</v>
      </c>
      <c r="J50" s="2">
        <v>270</v>
      </c>
      <c r="K50">
        <v>3</v>
      </c>
    </row>
    <row r="51" spans="1:11" x14ac:dyDescent="0.25">
      <c r="A51" t="s">
        <v>102</v>
      </c>
      <c r="B51" s="1">
        <v>45737</v>
      </c>
      <c r="C51">
        <v>2025</v>
      </c>
      <c r="D51" s="2" t="s">
        <v>72</v>
      </c>
      <c r="E51" s="2" t="s">
        <v>20</v>
      </c>
      <c r="F51" s="2" t="s">
        <v>103</v>
      </c>
      <c r="G51" s="2" t="s">
        <v>22</v>
      </c>
      <c r="H51">
        <v>7</v>
      </c>
      <c r="I51">
        <v>300</v>
      </c>
      <c r="J51" s="2">
        <v>2100</v>
      </c>
      <c r="K51">
        <v>3</v>
      </c>
    </row>
    <row r="52" spans="1:11" x14ac:dyDescent="0.25">
      <c r="A52" t="s">
        <v>104</v>
      </c>
      <c r="B52" s="1">
        <v>45736</v>
      </c>
      <c r="C52">
        <v>2025</v>
      </c>
      <c r="D52" s="2" t="s">
        <v>72</v>
      </c>
      <c r="E52" s="2" t="s">
        <v>30</v>
      </c>
      <c r="F52" s="2" t="s">
        <v>100</v>
      </c>
      <c r="G52" s="2" t="s">
        <v>32</v>
      </c>
      <c r="H52">
        <v>2</v>
      </c>
      <c r="I52">
        <v>15</v>
      </c>
      <c r="J52" s="2">
        <v>30</v>
      </c>
      <c r="K52">
        <v>3</v>
      </c>
    </row>
    <row r="53" spans="1:11" x14ac:dyDescent="0.25">
      <c r="A53" t="s">
        <v>105</v>
      </c>
      <c r="B53" s="1">
        <v>45736</v>
      </c>
      <c r="C53">
        <v>2025</v>
      </c>
      <c r="D53" s="2" t="s">
        <v>72</v>
      </c>
      <c r="E53" s="2" t="s">
        <v>30</v>
      </c>
      <c r="F53" s="2" t="s">
        <v>100</v>
      </c>
      <c r="G53" s="2" t="s">
        <v>32</v>
      </c>
      <c r="H53">
        <v>4</v>
      </c>
      <c r="I53">
        <v>15</v>
      </c>
      <c r="J53" s="2">
        <v>60</v>
      </c>
      <c r="K53">
        <v>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37C9D46-7429-4279-84FF-6EA7C44361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Dasboard</vt:lpstr>
      <vt:lpstr>Pivot_Data</vt:lpstr>
      <vt:lpstr>Data</vt:lpstr>
      <vt:lpstr>kpiAvgRevenue</vt:lpstr>
      <vt:lpstr>kpiTotalOrders</vt:lpstr>
      <vt:lpstr>kpiTotalQuantity</vt:lpstr>
      <vt:lpstr>kpiTotalRevenue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Alvin Betariza</dc:creator>
  <cp:lastModifiedBy>Alvin Betariza</cp:lastModifiedBy>
  <cp:lastPrinted>2026-02-02T21:28:06Z</cp:lastPrinted>
  <dcterms:created xsi:type="dcterms:W3CDTF">2026-02-01T12:57:49Z</dcterms:created>
  <dcterms:modified xsi:type="dcterms:W3CDTF">2026-02-02T21:39:13Z</dcterms:modified>
</cp:coreProperties>
</file>